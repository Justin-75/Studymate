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ed L4-L1" sheetId="1" state="visible" r:id="rId3"/>
    <sheet name="Summary" sheetId="2" state="visible" r:id="rId4"/>
  </sheets>
  <definedNames>
    <definedName function="false" hidden="true" localSheetId="0" name="_xlnm._FilterDatabase" vbProcedure="false">'Missed L4-L1'!$A$1:$P$60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<sst xmlns="http://schemas.openxmlformats.org/spreadsheetml/2006/main" count="419" uniqueCount="207">
  <si>
    <t xml:space="preserve">Level</t>
  </si>
  <si>
    <t xml:space="preserve">ID</t>
  </si>
  <si>
    <t xml:space="preserve">Doc</t>
  </si>
  <si>
    <t xml:space="preserve">Lang</t>
  </si>
  <si>
    <t xml:space="preserve">Gold pages</t>
  </si>
  <si>
    <t xml:space="preserve">Question</t>
  </si>
  <si>
    <t xml:space="preserve">TF-IDF raw</t>
  </si>
  <si>
    <t xml:space="preserve">TF-IDF pipeline</t>
  </si>
  <si>
    <t xml:space="preserve">BM25</t>
  </si>
  <si>
    <t xml:space="preserve">Dense (BGE-M3)</t>
  </si>
  <si>
    <t xml:space="preserve">Hybrid RRF (before reranker)</t>
  </si>
  <si>
    <t xml:space="preserve">Reranker (after)</t>
  </si>
  <si>
    <t xml:space="preserve">Rank change (before − after)</t>
  </si>
  <si>
    <t xml:space="preserve">Status</t>
  </si>
  <si>
    <t xml:space="preserve">Reranker top-1 page</t>
  </si>
  <si>
    <t xml:space="preserve">Reranker top-1 score</t>
  </si>
  <si>
    <t xml:space="preserve">L4</t>
  </si>
  <si>
    <t xml:space="preserve">p300-041</t>
  </si>
  <si>
    <t xml:space="preserve">p300</t>
  </si>
  <si>
    <t xml:space="preserve">en</t>
  </si>
  <si>
    <t xml:space="preserve">188 332</t>
  </si>
  <si>
    <t xml:space="preserve">Compare how attention works in a transformer layer versus in an RNN encoder-decoder.</t>
  </si>
  <si>
    <t xml:space="preserve">LLMbookzh-042</t>
  </si>
  <si>
    <t xml:space="preserve">LLMbookzh</t>
  </si>
  <si>
    <t xml:space="preserve">zh</t>
  </si>
  <si>
    <t xml:space="preserve">183 204</t>
  </si>
  <si>
    <r>
      <rPr>
        <sz val="10"/>
        <rFont val="Arial"/>
        <family val="0"/>
        <charset val="1"/>
      </rPr>
      <t xml:space="preserve">InstructGPT </t>
    </r>
    <r>
      <rPr>
        <sz val="10"/>
        <rFont val="Noto Sans CJK SC"/>
        <family val="2"/>
      </rPr>
      <t xml:space="preserve">采用的 </t>
    </r>
    <r>
      <rPr>
        <sz val="10"/>
        <rFont val="Arial"/>
        <family val="0"/>
        <charset val="1"/>
      </rPr>
      <t xml:space="preserve">RLHF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DPO </t>
    </r>
    <r>
      <rPr>
        <sz val="10"/>
        <rFont val="Noto Sans CJK SC"/>
        <family val="2"/>
      </rPr>
      <t xml:space="preserve">在优化策略模型的方式上有什么不同</t>
    </r>
    <r>
      <rPr>
        <sz val="10"/>
        <rFont val="Arial"/>
        <family val="0"/>
        <charset val="1"/>
      </rPr>
      <t xml:space="preserve">?</t>
    </r>
  </si>
  <si>
    <t xml:space="preserve">clrs-041</t>
  </si>
  <si>
    <t xml:space="preserve">clrs</t>
  </si>
  <si>
    <t xml:space="preserve">380 406</t>
  </si>
  <si>
    <t xml:space="preserve">Why does a naive recursive solution like RECURSIVE-MATRIX-CHAIN take exponential time, and how does dynamic programming avoid that cost?</t>
  </si>
  <si>
    <t xml:space="preserve">d2l-zh-041</t>
  </si>
  <si>
    <t xml:space="preserve">d2l-zh</t>
  </si>
  <si>
    <t xml:space="preserve">506 511 519</t>
  </si>
  <si>
    <r>
      <rPr>
        <sz val="10"/>
        <rFont val="Arial"/>
        <family val="0"/>
        <charset val="1"/>
      </rPr>
      <t xml:space="preserve">Adagrad</t>
    </r>
    <r>
      <rPr>
        <sz val="10"/>
        <rFont val="Noto Sans CJK SC"/>
        <family val="2"/>
      </rPr>
      <t xml:space="preserve">的学习率衰减过于剧烈</t>
    </r>
    <r>
      <rPr>
        <sz val="10"/>
        <rFont val="Arial"/>
        <family val="0"/>
        <charset val="1"/>
      </rPr>
      <t xml:space="preserve">,RMSProp</t>
    </r>
    <r>
      <rPr>
        <sz val="10"/>
        <rFont val="Noto Sans CJK SC"/>
        <family val="2"/>
      </rPr>
      <t xml:space="preserve">和</t>
    </r>
    <r>
      <rPr>
        <sz val="10"/>
        <rFont val="Arial"/>
        <family val="0"/>
        <charset val="1"/>
      </rPr>
      <t xml:space="preserve">Adam/Yogi</t>
    </r>
    <r>
      <rPr>
        <sz val="10"/>
        <rFont val="Noto Sans CJK SC"/>
        <family val="2"/>
      </rPr>
      <t xml:space="preserve">分别是如何改进这一问题的</t>
    </r>
    <r>
      <rPr>
        <sz val="10"/>
        <rFont val="Arial"/>
        <family val="0"/>
        <charset val="1"/>
      </rPr>
      <t xml:space="preserve">?</t>
    </r>
  </si>
  <si>
    <t xml:space="preserve">LLMbookzh-044</t>
  </si>
  <si>
    <t xml:space="preserve">232 241</t>
  </si>
  <si>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比特为例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对称量化与非对称量化的参数设置有何不同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将 </t>
    </r>
    <r>
      <rPr>
        <sz val="10"/>
        <rFont val="Arial"/>
        <family val="0"/>
        <charset val="1"/>
      </rPr>
      <t xml:space="preserve">LLaMA (7B) 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FP16 </t>
    </r>
    <r>
      <rPr>
        <sz val="10"/>
        <rFont val="Noto Sans CJK SC"/>
        <family val="2"/>
      </rPr>
      <t xml:space="preserve">量化到 </t>
    </r>
    <r>
      <rPr>
        <sz val="10"/>
        <rFont val="Arial"/>
        <family val="0"/>
        <charset val="1"/>
      </rPr>
      <t xml:space="preserve">INT8/INT4 </t>
    </r>
    <r>
      <rPr>
        <sz val="10"/>
        <rFont val="Noto Sans CJK SC"/>
        <family val="2"/>
      </rPr>
      <t xml:space="preserve">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显存和性能如何变化</t>
    </r>
    <r>
      <rPr>
        <sz val="10"/>
        <rFont val="Arial"/>
        <family val="0"/>
        <charset val="1"/>
      </rPr>
      <t xml:space="preserve">?</t>
    </r>
  </si>
  <si>
    <t xml:space="preserve">d2l-zh-042</t>
  </si>
  <si>
    <t xml:space="preserve">438 720</t>
  </si>
  <si>
    <r>
      <rPr>
        <sz val="10"/>
        <rFont val="Arial"/>
        <family val="0"/>
        <charset val="1"/>
      </rPr>
      <t xml:space="preserve">Transformer</t>
    </r>
    <r>
      <rPr>
        <sz val="10"/>
        <rFont val="Noto Sans CJK SC"/>
        <family val="2"/>
      </rPr>
      <t xml:space="preserve">的位置编码与</t>
    </r>
    <r>
      <rPr>
        <sz val="10"/>
        <rFont val="Arial"/>
        <family val="0"/>
        <charset val="1"/>
      </rPr>
      <t xml:space="preserve">BERT</t>
    </r>
    <r>
      <rPr>
        <sz val="10"/>
        <rFont val="Noto Sans CJK SC"/>
        <family val="2"/>
      </rPr>
      <t xml:space="preserve">的位置嵌入有什么区别</t>
    </r>
    <r>
      <rPr>
        <sz val="10"/>
        <rFont val="Arial"/>
        <family val="0"/>
        <charset val="1"/>
      </rPr>
      <t xml:space="preserve">?</t>
    </r>
  </si>
  <si>
    <t xml:space="preserve">LLMbookzh-045</t>
  </si>
  <si>
    <t xml:space="preserve">273 281</t>
  </si>
  <si>
    <r>
      <rPr>
        <sz val="10"/>
        <rFont val="Noto Sans CJK SC"/>
        <family val="2"/>
      </rPr>
      <t xml:space="preserve">基于大语言模型的规划框架与智能体框架中</t>
    </r>
    <r>
      <rPr>
        <sz val="10"/>
        <rFont val="Arial"/>
        <family val="0"/>
        <charset val="1"/>
      </rPr>
      <t xml:space="preserve">,'</t>
    </r>
    <r>
      <rPr>
        <sz val="10"/>
        <rFont val="Noto Sans CJK SC"/>
        <family val="2"/>
      </rPr>
      <t xml:space="preserve">制定方案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执行动作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分别由哪些组件负责</t>
    </r>
    <r>
      <rPr>
        <sz val="10"/>
        <rFont val="Arial"/>
        <family val="0"/>
        <charset val="1"/>
      </rPr>
      <t xml:space="preserve">?</t>
    </r>
  </si>
  <si>
    <t xml:space="preserve">clrs-042</t>
  </si>
  <si>
    <t xml:space="preserve">58 111</t>
  </si>
  <si>
    <t xml:space="preserve">Compare the recursion tree for merge sort's recurrence T(n) = 2T(n/2) + cn with the one for T(n) = 3T(n/4) + cn^2: branching factor, subproblem size at depth i, and cost per node.</t>
  </si>
  <si>
    <t xml:space="preserve">d2l-zh-044</t>
  </si>
  <si>
    <t xml:space="preserve">135 143</t>
  </si>
  <si>
    <r>
      <rPr>
        <sz val="10"/>
        <rFont val="Arial"/>
        <family val="0"/>
        <charset val="1"/>
      </rPr>
      <t xml:space="preserve">softmax</t>
    </r>
    <r>
      <rPr>
        <sz val="10"/>
        <rFont val="Noto Sans CJK SC"/>
        <family val="2"/>
      </rPr>
      <t xml:space="preserve">的从零实现和简洁实现在数值计算上有什么不同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为什么简洁实现要这样改</t>
    </r>
    <r>
      <rPr>
        <sz val="10"/>
        <rFont val="Arial"/>
        <family val="0"/>
        <charset val="1"/>
      </rPr>
      <t xml:space="preserve">?</t>
    </r>
  </si>
  <si>
    <t xml:space="preserve">L3</t>
  </si>
  <si>
    <t xml:space="preserve">clrs-037</t>
  </si>
  <si>
    <t xml:space="preserve">715</t>
  </si>
  <si>
    <r>
      <rPr>
        <sz val="10"/>
        <rFont val="Arial"/>
        <family val="0"/>
        <charset val="1"/>
      </rPr>
      <t xml:space="preserve">Floyd-Warshall </t>
    </r>
    <r>
      <rPr>
        <sz val="10"/>
        <rFont val="Noto Sans CJK SC"/>
        <family val="2"/>
      </rPr>
      <t xml:space="preserve">的递归定义中，为什么 </t>
    </r>
    <r>
      <rPr>
        <sz val="10"/>
        <rFont val="Arial"/>
        <family val="0"/>
        <charset val="1"/>
      </rPr>
      <t xml:space="preserve">d_ij^(0) = w_ij</t>
    </r>
    <r>
      <rPr>
        <sz val="10"/>
        <rFont val="Noto Sans CJK SC"/>
        <family val="2"/>
      </rPr>
      <t xml:space="preserve">？</t>
    </r>
  </si>
  <si>
    <t xml:space="preserve">&gt;50</t>
  </si>
  <si>
    <t xml:space="preserve">p300-036</t>
  </si>
  <si>
    <t xml:space="preserve">199</t>
  </si>
  <si>
    <r>
      <rPr>
        <sz val="10"/>
        <rFont val="Noto Sans CJK SC"/>
        <family val="2"/>
      </rPr>
      <t xml:space="preserve">一个 </t>
    </r>
    <r>
      <rPr>
        <sz val="10"/>
        <rFont val="Arial"/>
        <family val="0"/>
        <charset val="1"/>
      </rPr>
      <t xml:space="preserve">transformer block </t>
    </r>
    <r>
      <rPr>
        <sz val="10"/>
        <rFont val="Noto Sans CJK SC"/>
        <family val="2"/>
      </rPr>
      <t xml:space="preserve">内部的计算顺序是什么？</t>
    </r>
    <r>
      <rPr>
        <sz val="10"/>
        <rFont val="Arial"/>
        <family val="0"/>
        <charset val="1"/>
      </rPr>
      <t xml:space="preserve">residual connection </t>
    </r>
    <r>
      <rPr>
        <sz val="10"/>
        <rFont val="Noto Sans CJK SC"/>
        <family val="2"/>
      </rPr>
      <t xml:space="preserve">加在哪里？</t>
    </r>
  </si>
  <si>
    <t xml:space="preserve">clrs-035</t>
  </si>
  <si>
    <t xml:space="preserve">539</t>
  </si>
  <si>
    <r>
      <rPr>
        <sz val="10"/>
        <rFont val="Arial"/>
        <family val="0"/>
        <charset val="1"/>
      </rPr>
      <t xml:space="preserve">Fibonacci heap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extract-min</t>
    </r>
    <r>
      <rPr>
        <sz val="10"/>
        <rFont val="Noto Sans CJK SC"/>
        <family val="2"/>
      </rPr>
      <t xml:space="preserve">（抽取最小节点）操作的实际代价 </t>
    </r>
    <r>
      <rPr>
        <sz val="10"/>
        <rFont val="Arial"/>
        <family val="0"/>
        <charset val="1"/>
      </rPr>
      <t xml:space="preserve">(actual work) </t>
    </r>
    <r>
      <rPr>
        <sz val="10"/>
        <rFont val="Noto Sans CJK SC"/>
        <family val="2"/>
      </rPr>
      <t xml:space="preserve">是多少？</t>
    </r>
  </si>
  <si>
    <t xml:space="preserve">LLMbookzh-036</t>
  </si>
  <si>
    <t xml:space="preserve">104</t>
  </si>
  <si>
    <t xml:space="preserve">Why does the Transformer need position embeddings? What does self-attention degrade into without them?</t>
  </si>
  <si>
    <t xml:space="preserve">d2l-zh-036</t>
  </si>
  <si>
    <t xml:space="preserve">378</t>
  </si>
  <si>
    <r>
      <rPr>
        <sz val="10"/>
        <rFont val="Arial"/>
        <family val="0"/>
        <charset val="1"/>
      </rPr>
      <t xml:space="preserve">Which probabilistic graphical model does the book use to motivate </t>
    </r>
    <r>
      <rPr>
        <sz val="10"/>
        <rFont val="Noto Sans CJK SC"/>
        <family val="2"/>
      </rPr>
      <t xml:space="preserve">双向循环神经网络 </t>
    </r>
    <r>
      <rPr>
        <sz val="10"/>
        <rFont val="Arial"/>
        <family val="0"/>
        <charset val="1"/>
      </rPr>
      <t xml:space="preserve">(bidirectional RNNs)?</t>
    </r>
  </si>
  <si>
    <t xml:space="preserve">d2l-zh-038</t>
  </si>
  <si>
    <t xml:space="preserve">655</t>
  </si>
  <si>
    <r>
      <rPr>
        <sz val="10"/>
        <rFont val="Arial"/>
        <family val="0"/>
        <charset val="1"/>
      </rPr>
      <t xml:space="preserve">What are the three stages of a fully convolutional network (</t>
    </r>
    <r>
      <rPr>
        <sz val="10"/>
        <rFont val="Noto Sans CJK SC"/>
        <family val="2"/>
      </rPr>
      <t xml:space="preserve">全卷积网络</t>
    </r>
    <r>
      <rPr>
        <sz val="10"/>
        <rFont val="Arial"/>
        <family val="0"/>
        <charset val="1"/>
      </rPr>
      <t xml:space="preserve">) for semantic segmentation, and how is its transposed convolution initialized?</t>
    </r>
  </si>
  <si>
    <t xml:space="preserve">d2l-zh-039</t>
  </si>
  <si>
    <t xml:space="preserve">Why is accuracy rarely the right metric once an ML system is used for automated decisions?</t>
  </si>
  <si>
    <t xml:space="preserve">LLMbookzh-034</t>
  </si>
  <si>
    <t xml:space="preserve">30</t>
  </si>
  <si>
    <t xml:space="preserve">According to Ilya Sutskever, what is large-scale pre-training essentially doing?</t>
  </si>
  <si>
    <t xml:space="preserve">LLMbookzh-039</t>
  </si>
  <si>
    <t xml:space="preserve">295</t>
  </si>
  <si>
    <t xml:space="preserve">How is a model's expected win rate calculated in the Elo rating system used for pairwise LLM comparison?</t>
  </si>
  <si>
    <t xml:space="preserve">p300-037</t>
  </si>
  <si>
    <t xml:space="preserve">312</t>
  </si>
  <si>
    <r>
      <rPr>
        <sz val="10"/>
        <rFont val="Noto Sans CJK SC"/>
        <family val="2"/>
      </rPr>
      <t xml:space="preserve">简单 </t>
    </r>
    <r>
      <rPr>
        <sz val="10"/>
        <rFont val="Arial"/>
        <family val="0"/>
        <charset val="1"/>
      </rPr>
      <t xml:space="preserve">RNN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hidden state h_t </t>
    </r>
    <r>
      <rPr>
        <sz val="10"/>
        <rFont val="Noto Sans CJK SC"/>
        <family val="2"/>
      </rPr>
      <t xml:space="preserve">是怎么计算的？参数矩阵 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的维度分别是多少？</t>
    </r>
  </si>
  <si>
    <t xml:space="preserve">d2l-zh-037</t>
  </si>
  <si>
    <t xml:space="preserve">424</t>
  </si>
  <si>
    <t xml:space="preserve">When should additive attention be used instead of scaled dot-product attention?</t>
  </si>
  <si>
    <t xml:space="preserve">clrs-040</t>
  </si>
  <si>
    <t xml:space="preserve">1080</t>
  </si>
  <si>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formal language </t>
    </r>
    <r>
      <rPr>
        <sz val="10"/>
        <rFont val="Noto Sans CJK SC"/>
        <family val="2"/>
      </rPr>
      <t xml:space="preserve">的框架下，复杂度类 </t>
    </r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是如何定义的？</t>
    </r>
  </si>
  <si>
    <t xml:space="preserve">clrs-036</t>
  </si>
  <si>
    <t xml:space="preserve">668</t>
  </si>
  <si>
    <r>
      <rPr>
        <sz val="10"/>
        <rFont val="Noto Sans CJK SC"/>
        <family val="2"/>
      </rPr>
      <t xml:space="preserve">单源最短路径中，每个顶点的 </t>
    </r>
    <r>
      <rPr>
        <sz val="10"/>
        <rFont val="Arial"/>
        <family val="0"/>
        <charset val="1"/>
      </rPr>
      <t xml:space="preserve">predecessor </t>
    </r>
    <r>
      <rPr>
        <sz val="10"/>
        <rFont val="Noto Sans CJK SC"/>
        <family val="2"/>
      </rPr>
      <t xml:space="preserve">属性 </t>
    </r>
    <r>
      <rPr>
        <sz val="10"/>
        <rFont val="Arial"/>
        <family val="0"/>
        <charset val="1"/>
      </rPr>
      <t xml:space="preserve">v.π </t>
    </r>
    <r>
      <rPr>
        <sz val="10"/>
        <rFont val="Noto Sans CJK SC"/>
        <family val="2"/>
      </rPr>
      <t xml:space="preserve">有什么作用？最短路径最多包含多少条边？</t>
    </r>
  </si>
  <si>
    <t xml:space="preserve">d2l-zh-034</t>
  </si>
  <si>
    <t xml:space="preserve">706</t>
  </si>
  <si>
    <t xml:space="preserve">In the GloVe co-occurrence table, why is P(solid|ice)/P(solid|steam) large (≈8.9) while the ratio for 'water' is close to 1?</t>
  </si>
  <si>
    <t xml:space="preserve">LLMbookzh-037</t>
  </si>
  <si>
    <t xml:space="preserve">193</t>
  </si>
  <si>
    <t xml:space="preserve">In PPO, why is the probability ratio r_t(θ) clipped to [1−ε, 1+ε]?</t>
  </si>
  <si>
    <t xml:space="preserve">LLMbookzh-038</t>
  </si>
  <si>
    <t xml:space="preserve">258</t>
  </si>
  <si>
    <r>
      <rPr>
        <sz val="10"/>
        <rFont val="Arial"/>
        <family val="0"/>
        <charset val="1"/>
      </rPr>
      <t xml:space="preserve">In in-context learning, </t>
    </r>
    <r>
      <rPr>
        <sz val="10"/>
        <rFont val="Noto Sans CJK SC"/>
        <family val="2"/>
      </rPr>
      <t xml:space="preserve">示例设计 </t>
    </r>
    <r>
      <rPr>
        <sz val="10"/>
        <rFont val="Arial"/>
        <family val="0"/>
        <charset val="1"/>
      </rPr>
      <t xml:space="preserve">(demonstration design) </t>
    </r>
    <r>
      <rPr>
        <sz val="10"/>
        <rFont val="Noto Sans CJK SC"/>
        <family val="2"/>
      </rPr>
      <t xml:space="preserve">有哪三个关键因素</t>
    </r>
    <r>
      <rPr>
        <sz val="10"/>
        <rFont val="Arial"/>
        <family val="0"/>
        <charset val="1"/>
      </rPr>
      <t xml:space="preserve">?</t>
    </r>
  </si>
  <si>
    <t xml:space="preserve">LLMbookzh-040</t>
  </si>
  <si>
    <t xml:space="preserve">308</t>
  </si>
  <si>
    <t xml:space="preserve">What did SQuAD 2.0 add compared with the original SQuAD, and what is SQuAD's main evaluation metric?</t>
  </si>
  <si>
    <t xml:space="preserve">p300-039</t>
  </si>
  <si>
    <t xml:space="preserve">459</t>
  </si>
  <si>
    <r>
      <rPr>
        <sz val="10"/>
        <rFont val="Noto Sans CJK SC"/>
        <family val="2"/>
      </rPr>
      <t xml:space="preserve">依存句法结构 </t>
    </r>
    <r>
      <rPr>
        <sz val="10"/>
        <rFont val="Arial"/>
        <family val="0"/>
        <charset val="1"/>
      </rPr>
      <t xml:space="preserve">(dependency structure) </t>
    </r>
    <r>
      <rPr>
        <sz val="10"/>
        <rFont val="Noto Sans CJK SC"/>
        <family val="2"/>
      </rPr>
      <t xml:space="preserve">用什么样的图来表示？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和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分别代表什么？</t>
    </r>
  </si>
  <si>
    <t xml:space="preserve">clrs-033</t>
  </si>
  <si>
    <t xml:space="preserve">339</t>
  </si>
  <si>
    <r>
      <rPr>
        <sz val="10"/>
        <rFont val="Arial"/>
        <family val="0"/>
        <charset val="1"/>
      </rPr>
      <t xml:space="preserve">RB-INSERT-FIXUP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while </t>
    </r>
    <r>
      <rPr>
        <sz val="10"/>
        <rFont val="Noto Sans CJK SC"/>
        <family val="2"/>
      </rPr>
      <t xml:space="preserve">循环所维护的 </t>
    </r>
    <r>
      <rPr>
        <sz val="10"/>
        <rFont val="Arial"/>
        <family val="0"/>
        <charset val="1"/>
      </rPr>
      <t xml:space="preserve">loop invariant </t>
    </r>
    <r>
      <rPr>
        <sz val="10"/>
        <rFont val="Noto Sans CJK SC"/>
        <family val="2"/>
      </rPr>
      <t xml:space="preserve">中，红黑树最多会违反哪几条 </t>
    </r>
    <r>
      <rPr>
        <sz val="10"/>
        <rFont val="Arial"/>
        <family val="0"/>
        <charset val="1"/>
      </rPr>
      <t xml:space="preserve">red-black properties</t>
    </r>
    <r>
      <rPr>
        <sz val="10"/>
        <rFont val="Noto Sans CJK SC"/>
        <family val="2"/>
      </rPr>
      <t xml:space="preserve">？</t>
    </r>
  </si>
  <si>
    <t xml:space="preserve">L2</t>
  </si>
  <si>
    <t xml:space="preserve">clrs-018</t>
  </si>
  <si>
    <t xml:space="preserve">49</t>
  </si>
  <si>
    <t xml:space="preserve">When inserting a new element into the already-sorted prefix, how far does insertion sort typically have to look, and what does that mean for its typical running time?</t>
  </si>
  <si>
    <t xml:space="preserve">clrs-023</t>
  </si>
  <si>
    <t xml:space="preserve">398</t>
  </si>
  <si>
    <t xml:space="preserve">How much time and memory does the bottom-up procedure for choosing the best order of matrix multiplications need, and why?</t>
  </si>
  <si>
    <t xml:space="preserve">d2l-zh-033</t>
  </si>
  <si>
    <t xml:space="preserve">242</t>
  </si>
  <si>
    <r>
      <rPr>
        <sz val="10"/>
        <rFont val="Noto Sans CJK SC"/>
        <family val="2"/>
      </rPr>
      <t xml:space="preserve">在</t>
    </r>
    <r>
      <rPr>
        <sz val="10"/>
        <rFont val="Arial"/>
        <family val="0"/>
        <charset val="1"/>
      </rPr>
      <t xml:space="preserve">GPU</t>
    </r>
    <r>
      <rPr>
        <sz val="10"/>
        <rFont val="Noto Sans CJK SC"/>
        <family val="2"/>
      </rPr>
      <t xml:space="preserve">上训练时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为什么每个小批量都把损失打印到命令行会拖慢训练</t>
    </r>
    <r>
      <rPr>
        <sz val="10"/>
        <rFont val="Arial"/>
        <family val="0"/>
        <charset val="1"/>
      </rPr>
      <t xml:space="preserve">?</t>
    </r>
  </si>
  <si>
    <t xml:space="preserve">clrs-030</t>
  </si>
  <si>
    <t xml:space="preserve">870</t>
  </si>
  <si>
    <t xml:space="preserve">Algebraically, how does the simplex method move from one corner of the feasible region to another?</t>
  </si>
  <si>
    <t xml:space="preserve">d2l-zh-026</t>
  </si>
  <si>
    <t xml:space="preserve">469</t>
  </si>
  <si>
    <r>
      <rPr>
        <sz val="10"/>
        <rFont val="Noto Sans CJK SC"/>
        <family val="2"/>
      </rPr>
      <t xml:space="preserve">梯度下降时学习率设得太大或太小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分别会出现什么现象</t>
    </r>
    <r>
      <rPr>
        <sz val="10"/>
        <rFont val="Arial"/>
        <family val="0"/>
        <charset val="1"/>
      </rPr>
      <t xml:space="preserve">?</t>
    </r>
  </si>
  <si>
    <t xml:space="preserve">d2l-zh-031</t>
  </si>
  <si>
    <t xml:space="preserve">683</t>
  </si>
  <si>
    <r>
      <rPr>
        <sz val="10"/>
        <rFont val="Noto Sans CJK SC"/>
        <family val="2"/>
      </rPr>
      <t xml:space="preserve">为什么</t>
    </r>
    <r>
      <rPr>
        <sz val="10"/>
        <rFont val="Arial"/>
        <family val="0"/>
        <charset val="1"/>
      </rPr>
      <t xml:space="preserve">word2vec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GloVe</t>
    </r>
    <r>
      <rPr>
        <sz val="10"/>
        <rFont val="Noto Sans CJK SC"/>
        <family val="2"/>
      </rPr>
      <t xml:space="preserve">这类预训练词向量无法区分“</t>
    </r>
    <r>
      <rPr>
        <sz val="10"/>
        <rFont val="Arial"/>
        <family val="0"/>
        <charset val="1"/>
      </rPr>
      <t xml:space="preserve">bank”</t>
    </r>
    <r>
      <rPr>
        <sz val="10"/>
        <rFont val="Noto Sans CJK SC"/>
        <family val="2"/>
      </rPr>
      <t xml:space="preserve">在不同句子中的含义</t>
    </r>
    <r>
      <rPr>
        <sz val="10"/>
        <rFont val="Arial"/>
        <family val="0"/>
        <charset val="1"/>
      </rPr>
      <t xml:space="preserve">?</t>
    </r>
  </si>
  <si>
    <t xml:space="preserve">p300-023</t>
  </si>
  <si>
    <t xml:space="preserve">139</t>
  </si>
  <si>
    <t xml:space="preserve">How could you work out what an unfamiliar vegetable name means just from the sentences it appears in?</t>
  </si>
  <si>
    <t xml:space="preserve">p300-031</t>
  </si>
  <si>
    <t xml:space="preserve">414</t>
  </si>
  <si>
    <t xml:space="preserve">Why is finding and labeling names of people and places harder than tagging each word with its part of speech?</t>
  </si>
  <si>
    <t xml:space="preserve">d2l-zh-019</t>
  </si>
  <si>
    <t xml:space="preserve">218</t>
  </si>
  <si>
    <r>
      <rPr>
        <sz val="10"/>
        <rFont val="Noto Sans CJK SC"/>
        <family val="2"/>
      </rPr>
      <t xml:space="preserve">如果某一层需要一个在训练过程中始终不被更新的权重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在</t>
    </r>
    <r>
      <rPr>
        <sz val="10"/>
        <rFont val="Arial"/>
        <family val="0"/>
        <charset val="1"/>
      </rPr>
      <t xml:space="preserve">MXNet</t>
    </r>
    <r>
      <rPr>
        <sz val="10"/>
        <rFont val="Noto Sans CJK SC"/>
        <family val="2"/>
      </rPr>
      <t xml:space="preserve">中应该怎么实现</t>
    </r>
    <r>
      <rPr>
        <sz val="10"/>
        <rFont val="Arial"/>
        <family val="0"/>
        <charset val="1"/>
      </rPr>
      <t xml:space="preserve">?</t>
    </r>
  </si>
  <si>
    <t xml:space="preserve">p300-019</t>
  </si>
  <si>
    <t xml:space="preserve">68</t>
  </si>
  <si>
    <t xml:space="preserve">What is the most helpful way to picture the operations needed to turn 'intention' into 'execution'?</t>
  </si>
  <si>
    <t xml:space="preserve">d2l-zh-023</t>
  </si>
  <si>
    <t xml:space="preserve">294</t>
  </si>
  <si>
    <r>
      <rPr>
        <sz val="10"/>
        <rFont val="Noto Sans CJK SC"/>
        <family val="2"/>
      </rPr>
      <t xml:space="preserve">“批量规范化”这个名字是怎么来的</t>
    </r>
    <r>
      <rPr>
        <sz val="10"/>
        <rFont val="Arial"/>
        <family val="0"/>
        <charset val="1"/>
      </rPr>
      <t xml:space="preserve">?</t>
    </r>
  </si>
  <si>
    <t xml:space="preserve">LLMbookzh-028</t>
  </si>
  <si>
    <r>
      <rPr>
        <sz val="10"/>
        <rFont val="Noto Sans CJK SC"/>
        <family val="2"/>
      </rPr>
      <t xml:space="preserve">为什么研究者要寻找不依赖强化学习的对齐方法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基于人类反馈的强化学习在工程上有哪些麻烦</t>
    </r>
    <r>
      <rPr>
        <sz val="10"/>
        <rFont val="Arial"/>
        <family val="0"/>
        <charset val="1"/>
      </rPr>
      <t xml:space="preserve">?</t>
    </r>
  </si>
  <si>
    <t xml:space="preserve">d2l-zh-029</t>
  </si>
  <si>
    <t xml:space="preserve">609</t>
  </si>
  <si>
    <r>
      <rPr>
        <sz val="10"/>
        <rFont val="Noto Sans CJK SC"/>
        <family val="2"/>
      </rPr>
      <t xml:space="preserve">目标检测模型输出了很多围绕同一目标、高度重叠的预测框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该如何精简</t>
    </r>
    <r>
      <rPr>
        <sz val="10"/>
        <rFont val="Arial"/>
        <family val="0"/>
        <charset val="1"/>
      </rPr>
      <t xml:space="preserve">?</t>
    </r>
  </si>
  <si>
    <t xml:space="preserve">d2l-zh-032</t>
  </si>
  <si>
    <t xml:space="preserve">710</t>
  </si>
  <si>
    <r>
      <rPr>
        <sz val="10"/>
        <rFont val="Noto Sans CJK SC"/>
        <family val="2"/>
      </rPr>
      <t xml:space="preserve">字节对编码</t>
    </r>
    <r>
      <rPr>
        <sz val="10"/>
        <rFont val="Arial"/>
        <family val="0"/>
        <charset val="1"/>
      </rPr>
      <t xml:space="preserve">(BPE)</t>
    </r>
    <r>
      <rPr>
        <sz val="10"/>
        <rFont val="Noto Sans CJK SC"/>
        <family val="2"/>
      </rPr>
      <t xml:space="preserve">学到的子词是否与数据集无关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能否用于其他数据集</t>
    </r>
    <r>
      <rPr>
        <sz val="10"/>
        <rFont val="Arial"/>
        <family val="0"/>
        <charset val="1"/>
      </rPr>
      <t xml:space="preserve">?</t>
    </r>
  </si>
  <si>
    <t xml:space="preserve">LLMbookzh-023</t>
  </si>
  <si>
    <t xml:space="preserve">96</t>
  </si>
  <si>
    <r>
      <rPr>
        <sz val="10"/>
        <rFont val="Noto Sans CJK SC"/>
        <family val="2"/>
      </rPr>
      <t xml:space="preserve">只按词元所处位置分配一个固定向量的做法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为什么不利于处理长文本</t>
    </r>
    <r>
      <rPr>
        <sz val="10"/>
        <rFont val="Arial"/>
        <family val="0"/>
        <charset val="1"/>
      </rPr>
      <t xml:space="preserve">?</t>
    </r>
  </si>
  <si>
    <t xml:space="preserve">LLMbookzh-032</t>
  </si>
  <si>
    <t xml:space="preserve">318</t>
  </si>
  <si>
    <r>
      <rPr>
        <sz val="10"/>
        <rFont val="Noto Sans CJK SC"/>
        <family val="2"/>
      </rPr>
      <t xml:space="preserve">大模型做大数运算或解方程时容易出错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有哪些办法可以提升它的数值计算能力</t>
    </r>
    <r>
      <rPr>
        <sz val="10"/>
        <rFont val="Arial"/>
        <family val="0"/>
        <charset val="1"/>
      </rPr>
      <t xml:space="preserve">?</t>
    </r>
  </si>
  <si>
    <t xml:space="preserve">clrs-019</t>
  </si>
  <si>
    <t xml:space="preserve">91</t>
  </si>
  <si>
    <t xml:space="preserve">Why is finding the contiguous stretch of an array with the largest total trivial when no entries are negative?</t>
  </si>
  <si>
    <t xml:space="preserve">clrs-024</t>
  </si>
  <si>
    <t xml:space="preserve">438</t>
  </si>
  <si>
    <t xml:space="preserve">In the scheduling-non-overlapping-events problem, after greedily picking the event that ends earliest, what is left to solve?</t>
  </si>
  <si>
    <t xml:space="preserve">d2l-zh-021</t>
  </si>
  <si>
    <t xml:space="preserve">251</t>
  </si>
  <si>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[1, -1]</t>
    </r>
    <r>
      <rPr>
        <sz val="10"/>
        <rFont val="Noto Sans CJK SC"/>
        <family val="2"/>
      </rPr>
      <t xml:space="preserve">卷积核进行互相关检测边缘时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为什么把图像转置后就检测不到边缘了</t>
    </r>
    <r>
      <rPr>
        <sz val="10"/>
        <rFont val="Arial"/>
        <family val="0"/>
        <charset val="1"/>
      </rPr>
      <t xml:space="preserve">?</t>
    </r>
  </si>
  <si>
    <t xml:space="preserve">d2l-zh-027</t>
  </si>
  <si>
    <t xml:space="preserve">483</t>
  </si>
  <si>
    <r>
      <rPr>
        <sz val="10"/>
        <rFont val="Noto Sans CJK SC"/>
        <family val="2"/>
      </rPr>
      <t xml:space="preserve">为什么实践中每个</t>
    </r>
    <r>
      <rPr>
        <sz val="10"/>
        <rFont val="Arial"/>
        <family val="0"/>
        <charset val="1"/>
      </rPr>
      <t xml:space="preserve">epoch</t>
    </r>
    <r>
      <rPr>
        <sz val="10"/>
        <rFont val="Noto Sans CJK SC"/>
        <family val="2"/>
      </rPr>
      <t xml:space="preserve">都是无放回地遍历训练数据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而不是有放回地随机采样</t>
    </r>
    <r>
      <rPr>
        <sz val="10"/>
        <rFont val="Arial"/>
        <family val="0"/>
        <charset val="1"/>
      </rPr>
      <t xml:space="preserve">?</t>
    </r>
  </si>
  <si>
    <t xml:space="preserve">LLMbookzh-021</t>
  </si>
  <si>
    <t xml:space="preserve">81</t>
  </si>
  <si>
    <r>
      <rPr>
        <sz val="10"/>
        <rFont val="Noto Sans CJK SC"/>
        <family val="2"/>
      </rPr>
      <t xml:space="preserve">如果评测用的题目事先已经混进了训练语料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这种问题在书中被称为什么</t>
    </r>
    <r>
      <rPr>
        <sz val="10"/>
        <rFont val="Arial"/>
        <family val="0"/>
        <charset val="1"/>
      </rPr>
      <t xml:space="preserve">?</t>
    </r>
  </si>
  <si>
    <t xml:space="preserve">LLMbookzh-027</t>
  </si>
  <si>
    <t xml:space="preserve">163</t>
  </si>
  <si>
    <r>
      <rPr>
        <sz val="10"/>
        <rFont val="Noto Sans CJK SC"/>
        <family val="2"/>
      </rPr>
      <t xml:space="preserve">用低秩适配方法微调 </t>
    </r>
    <r>
      <rPr>
        <sz val="10"/>
        <rFont val="Arial"/>
        <family val="0"/>
        <charset val="1"/>
      </rPr>
      <t xml:space="preserve">LLaMA (7B) </t>
    </r>
    <r>
      <rPr>
        <sz val="10"/>
        <rFont val="Noto Sans CJK SC"/>
        <family val="2"/>
      </rPr>
      <t xml:space="preserve">时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显存需求大约能从多少降到多少</t>
    </r>
    <r>
      <rPr>
        <sz val="10"/>
        <rFont val="Arial"/>
        <family val="0"/>
        <charset val="1"/>
      </rPr>
      <t xml:space="preserve">?</t>
    </r>
  </si>
  <si>
    <t xml:space="preserve">p300-018</t>
  </si>
  <si>
    <t xml:space="preserve">46</t>
  </si>
  <si>
    <t xml:space="preserve">What do you call a language in which a single ending packs several grammatical meanings together, and what English example is given?</t>
  </si>
  <si>
    <t xml:space="preserve">L1</t>
  </si>
  <si>
    <t xml:space="preserve">LLMbookzh-008</t>
  </si>
  <si>
    <t xml:space="preserve">90</t>
  </si>
  <si>
    <r>
      <rPr>
        <sz val="10"/>
        <rFont val="Arial"/>
        <family val="0"/>
        <charset val="1"/>
      </rPr>
      <t xml:space="preserve">LLaMA </t>
    </r>
    <r>
      <rPr>
        <sz val="10"/>
        <rFont val="Noto Sans CJK SC"/>
        <family val="2"/>
      </rPr>
      <t xml:space="preserve">的预训练数据中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来自 </t>
    </r>
    <r>
      <rPr>
        <sz val="10"/>
        <rFont val="Arial"/>
        <family val="0"/>
        <charset val="1"/>
      </rPr>
      <t xml:space="preserve">arXiv </t>
    </r>
    <r>
      <rPr>
        <sz val="10"/>
        <rFont val="Noto Sans CJK SC"/>
        <family val="2"/>
      </rPr>
      <t xml:space="preserve">的科学数据占比是多少</t>
    </r>
    <r>
      <rPr>
        <sz val="10"/>
        <rFont val="Arial"/>
        <family val="0"/>
        <charset val="1"/>
      </rPr>
      <t xml:space="preserve">?</t>
    </r>
  </si>
  <si>
    <t xml:space="preserve">clrs-013</t>
  </si>
  <si>
    <t xml:space="preserve">912</t>
  </si>
  <si>
    <t xml:space="preserve">According to the fundamental theorem of linear programming, what are the possible outcomes for any linear program?</t>
  </si>
  <si>
    <t xml:space="preserve">LLMbookzh-001</t>
  </si>
  <si>
    <t xml:space="preserve">18</t>
  </si>
  <si>
    <r>
      <rPr>
        <sz val="10"/>
        <rFont val="Noto Sans CJK SC"/>
        <family val="2"/>
      </rPr>
      <t xml:space="preserve">这种大模型具有但小模型不具有的能力通常被称为什么</t>
    </r>
    <r>
      <rPr>
        <sz val="10"/>
        <rFont val="Arial"/>
        <family val="0"/>
        <charset val="1"/>
      </rPr>
      <t xml:space="preserve">?</t>
    </r>
  </si>
  <si>
    <t xml:space="preserve">d2l-zh-018</t>
  </si>
  <si>
    <t xml:space="preserve">594</t>
  </si>
  <si>
    <r>
      <rPr>
        <sz val="10"/>
        <rFont val="Noto Sans CJK SC"/>
        <family val="2"/>
      </rPr>
      <t xml:space="preserve">在微调模型中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输出层的学习率是其他层的多少倍</t>
    </r>
    <r>
      <rPr>
        <sz val="10"/>
        <rFont val="Arial"/>
        <family val="0"/>
        <charset val="1"/>
      </rPr>
      <t xml:space="preserve">?</t>
    </r>
  </si>
  <si>
    <t xml:space="preserve">clrs-007</t>
  </si>
  <si>
    <t xml:space="preserve">274</t>
  </si>
  <si>
    <t xml:space="preserve">Under reasonable assumptions, what is the average time to search for an element in a hash table?</t>
  </si>
  <si>
    <t xml:space="preserve">d2l-zh-017</t>
  </si>
  <si>
    <r>
      <rPr>
        <sz val="10"/>
        <rFont val="Arial"/>
        <family val="0"/>
        <charset val="1"/>
      </rPr>
      <t xml:space="preserve">CIFAR-10</t>
    </r>
    <r>
      <rPr>
        <sz val="10"/>
        <rFont val="Noto Sans CJK SC"/>
        <family val="2"/>
      </rPr>
      <t xml:space="preserve">训练图像增广中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图像先被放大到多少像素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随机裁剪后又被缩放到多少像素</t>
    </r>
    <r>
      <rPr>
        <sz val="10"/>
        <rFont val="Arial"/>
        <family val="0"/>
        <charset val="1"/>
      </rPr>
      <t xml:space="preserve">?</t>
    </r>
  </si>
  <si>
    <t xml:space="preserve">clrs-008</t>
  </si>
  <si>
    <t xml:space="preserve">447</t>
  </si>
  <si>
    <t xml:space="preserve">In the 0-1 knapsack example with a 50-pound knapsack, which items does the optimal solution take?</t>
  </si>
  <si>
    <t xml:space="preserve">d2l-zh-009</t>
  </si>
  <si>
    <r>
      <rPr>
        <sz val="10"/>
        <rFont val="Noto Sans CJK SC"/>
        <family val="2"/>
      </rPr>
      <t xml:space="preserve">什么是循环神经网络</t>
    </r>
    <r>
      <rPr>
        <sz val="10"/>
        <rFont val="Arial"/>
        <family val="0"/>
        <charset val="1"/>
      </rPr>
      <t xml:space="preserve">(RNNs)?</t>
    </r>
  </si>
  <si>
    <t xml:space="preserve">Ranks = position of the first gold page (lower is better). Red = outside top 5. "&gt;50" = not in top 50 (eval wrote 0). Source: eval_out/Newest Test Result/per_question.csv and top5_text.csv (run of 29 Sep 2026). L5 (no-answer) questions excluded.</t>
  </si>
  <si>
    <t xml:space="preserve">Total</t>
  </si>
  <si>
    <t xml:space="preserve">Both miss</t>
  </si>
  <si>
    <t xml:space="preserve">Reranker broke</t>
  </si>
  <si>
    <t xml:space="preserve">Reranker fixed</t>
  </si>
  <si>
    <t xml:space="preserve">Only single retrievers miss</t>
  </si>
  <si>
    <t xml:space="preserve">Both miss = gold outside top 5 before and after reranker. Reranker broke = top 5 before, out after. Reranker fixed = out before, top 5 after. Only single retrievers miss = hybrid and reranker both find it; some single retriever (TF-IDF/BM25/Dense) missed.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</si>
</sst>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D7DA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24"/>
    <col collapsed="false" customWidth="true" hidden="false" outlineLevel="0" max="16" min="15" style="0" width="1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21</v>
      </c>
      <c r="G2" s="4" t="n">
        <v>27</v>
      </c>
      <c r="H2" s="4" t="n">
        <v>18</v>
      </c>
      <c r="I2" s="4" t="n">
        <v>18</v>
      </c>
      <c r="J2" s="4" t="n">
        <v>6</v>
      </c>
      <c r="K2" s="4" t="n">
        <v>10</v>
      </c>
      <c r="L2" s="4" t="n">
        <v>11</v>
      </c>
      <c r="M2" s="2" t="n">
        <f aca="false">K2-L2</f>
        <v>-1</v>
      </c>
      <c r="N2" s="2" t="str">
        <f aca="false">IF(AND(K2&lt;=5,L2&lt;=5),"Only single retrievers miss",IF(AND(K2&gt;5,L2&lt;=5),"Reranker fixed",IF(AND(K2&lt;=5,L2&gt;5),"Reranker broke","Both miss")))</f>
        <v>Both miss</v>
      </c>
      <c r="O2" s="2" t="n">
        <v>293</v>
      </c>
      <c r="P2" s="5" t="n">
        <v>0.7718</v>
      </c>
    </row>
    <row r="3" customFormat="false" ht="15" hidden="false" customHeight="false" outlineLevel="0" collapsed="false">
      <c r="A3" s="2" t="s">
        <v>16</v>
      </c>
      <c r="B3" s="2" t="s">
        <v>22</v>
      </c>
      <c r="C3" s="2" t="s">
        <v>23</v>
      </c>
      <c r="D3" s="2" t="s">
        <v>24</v>
      </c>
      <c r="E3" s="2" t="s">
        <v>25</v>
      </c>
      <c r="F3" s="3" t="s">
        <v>26</v>
      </c>
      <c r="G3" s="4" t="n">
        <v>11</v>
      </c>
      <c r="H3" s="4" t="n">
        <v>20</v>
      </c>
      <c r="I3" s="4" t="n">
        <v>19</v>
      </c>
      <c r="J3" s="4" t="n">
        <v>28</v>
      </c>
      <c r="K3" s="4" t="n">
        <v>20</v>
      </c>
      <c r="L3" s="4" t="n">
        <v>10</v>
      </c>
      <c r="M3" s="2" t="n">
        <f aca="false">K3-L3</f>
        <v>10</v>
      </c>
      <c r="N3" s="2" t="str">
        <f aca="false">IF(AND(K3&lt;=5,L3&lt;=5),"Only single retrievers miss",IF(AND(K3&gt;5,L3&lt;=5),"Reranker fixed",IF(AND(K3&lt;=5,L3&gt;5),"Reranker broke","Both miss")))</f>
        <v>Both miss</v>
      </c>
      <c r="O3" s="2" t="n">
        <v>211</v>
      </c>
      <c r="P3" s="5" t="n">
        <v>0.9764</v>
      </c>
    </row>
    <row r="4" customFormat="false" ht="35.05" hidden="false" customHeight="false" outlineLevel="0" collapsed="false">
      <c r="A4" s="2" t="s">
        <v>16</v>
      </c>
      <c r="B4" s="2" t="s">
        <v>27</v>
      </c>
      <c r="C4" s="2" t="s">
        <v>28</v>
      </c>
      <c r="D4" s="2" t="s">
        <v>19</v>
      </c>
      <c r="E4" s="2" t="s">
        <v>29</v>
      </c>
      <c r="F4" s="3" t="s">
        <v>30</v>
      </c>
      <c r="G4" s="6" t="n">
        <v>1</v>
      </c>
      <c r="H4" s="6" t="n">
        <v>1</v>
      </c>
      <c r="I4" s="4" t="n">
        <v>17</v>
      </c>
      <c r="J4" s="6" t="n">
        <v>3</v>
      </c>
      <c r="K4" s="4" t="n">
        <v>6</v>
      </c>
      <c r="L4" s="4" t="n">
        <v>6</v>
      </c>
      <c r="M4" s="2" t="n">
        <f aca="false">K4-L4</f>
        <v>0</v>
      </c>
      <c r="N4" s="2" t="str">
        <f aca="false">IF(AND(K4&lt;=5,L4&lt;=5),"Only single retrievers miss",IF(AND(K4&gt;5,L4&lt;=5),"Reranker fixed",IF(AND(K4&lt;=5,L4&gt;5),"Reranker broke","Both miss")))</f>
        <v>Both miss</v>
      </c>
      <c r="O4" s="2" t="n">
        <v>410</v>
      </c>
      <c r="P4" s="5" t="n">
        <v>0.9604</v>
      </c>
    </row>
    <row r="5" customFormat="false" ht="29.85" hidden="false" customHeight="false" outlineLevel="0" collapsed="false">
      <c r="A5" s="2" t="s">
        <v>16</v>
      </c>
      <c r="B5" s="2" t="s">
        <v>31</v>
      </c>
      <c r="C5" s="2" t="s">
        <v>32</v>
      </c>
      <c r="D5" s="2" t="s">
        <v>24</v>
      </c>
      <c r="E5" s="2" t="s">
        <v>33</v>
      </c>
      <c r="F5" s="3" t="s">
        <v>34</v>
      </c>
      <c r="G5" s="4" t="n">
        <v>9</v>
      </c>
      <c r="H5" s="6" t="n">
        <v>3</v>
      </c>
      <c r="I5" s="6" t="n">
        <v>2</v>
      </c>
      <c r="J5" s="6" t="n">
        <v>5</v>
      </c>
      <c r="K5" s="6" t="n">
        <v>2</v>
      </c>
      <c r="L5" s="4" t="n">
        <v>7</v>
      </c>
      <c r="M5" s="2" t="n">
        <f aca="false">K5-L5</f>
        <v>-5</v>
      </c>
      <c r="N5" s="2" t="str">
        <f aca="false">IF(AND(K5&lt;=5,L5&lt;=5),"Only single retrievers miss",IF(AND(K5&gt;5,L5&lt;=5),"Reranker fixed",IF(AND(K5&lt;=5,L5&gt;5),"Reranker broke","Both miss")))</f>
        <v>Reranker broke</v>
      </c>
      <c r="O5" s="2" t="n">
        <v>508</v>
      </c>
      <c r="P5" s="5" t="n">
        <v>0.9824</v>
      </c>
    </row>
    <row r="6" customFormat="false" ht="29.85" hidden="false" customHeight="false" outlineLevel="0" collapsed="false">
      <c r="A6" s="2" t="s">
        <v>16</v>
      </c>
      <c r="B6" s="2" t="s">
        <v>35</v>
      </c>
      <c r="C6" s="2" t="s">
        <v>23</v>
      </c>
      <c r="D6" s="2" t="s">
        <v>24</v>
      </c>
      <c r="E6" s="2" t="s">
        <v>36</v>
      </c>
      <c r="F6" s="7" t="s">
        <v>37</v>
      </c>
      <c r="G6" s="6" t="n">
        <v>2</v>
      </c>
      <c r="H6" s="6" t="n">
        <v>2</v>
      </c>
      <c r="I6" s="6" t="n">
        <v>2</v>
      </c>
      <c r="J6" s="4" t="n">
        <v>6</v>
      </c>
      <c r="K6" s="6" t="n">
        <v>2</v>
      </c>
      <c r="L6" s="6" t="n">
        <v>4</v>
      </c>
      <c r="M6" s="2" t="n">
        <f aca="false">K6-L6</f>
        <v>-2</v>
      </c>
      <c r="N6" s="2" t="str">
        <f aca="false">IF(AND(K6&lt;=5,L6&lt;=5),"Only single retrievers miss",IF(AND(K6&gt;5,L6&lt;=5),"Reranker fixed",IF(AND(K6&lt;=5,L6&gt;5),"Reranker broke","Both miss")))</f>
        <v>Only single retrievers miss</v>
      </c>
      <c r="O6" s="2" t="n">
        <v>231</v>
      </c>
      <c r="P6" s="5" t="n">
        <v>0.9776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32</v>
      </c>
      <c r="D7" s="2" t="s">
        <v>24</v>
      </c>
      <c r="E7" s="2" t="s">
        <v>39</v>
      </c>
      <c r="F7" s="3" t="s">
        <v>40</v>
      </c>
      <c r="G7" s="4" t="n">
        <v>31</v>
      </c>
      <c r="H7" s="4" t="n">
        <v>7</v>
      </c>
      <c r="I7" s="4" t="n">
        <v>16</v>
      </c>
      <c r="J7" s="6" t="n">
        <v>2</v>
      </c>
      <c r="K7" s="6" t="n">
        <v>5</v>
      </c>
      <c r="L7" s="6" t="n">
        <v>3</v>
      </c>
      <c r="M7" s="2" t="n">
        <f aca="false">K7-L7</f>
        <v>2</v>
      </c>
      <c r="N7" s="2" t="str">
        <f aca="false">IF(AND(K7&lt;=5,L7&lt;=5),"Only single retrievers miss",IF(AND(K7&gt;5,L7&lt;=5),"Reranker fixed",IF(AND(K7&lt;=5,L7&gt;5),"Reranker broke","Both miss")))</f>
        <v>Only single retrievers miss</v>
      </c>
      <c r="O7" s="2" t="n">
        <v>719</v>
      </c>
      <c r="P7" s="5" t="n">
        <v>0.998</v>
      </c>
    </row>
    <row r="8" customFormat="false" ht="29.85" hidden="false" customHeight="false" outlineLevel="0" collapsed="false">
      <c r="A8" s="2" t="s">
        <v>16</v>
      </c>
      <c r="B8" s="2" t="s">
        <v>41</v>
      </c>
      <c r="C8" s="2" t="s">
        <v>23</v>
      </c>
      <c r="D8" s="2" t="s">
        <v>24</v>
      </c>
      <c r="E8" s="2" t="s">
        <v>42</v>
      </c>
      <c r="F8" s="7" t="s">
        <v>43</v>
      </c>
      <c r="G8" s="4" t="n">
        <v>8</v>
      </c>
      <c r="H8" s="4" t="n">
        <v>13</v>
      </c>
      <c r="I8" s="6" t="n">
        <v>3</v>
      </c>
      <c r="J8" s="6" t="n">
        <v>1</v>
      </c>
      <c r="K8" s="6" t="n">
        <v>2</v>
      </c>
      <c r="L8" s="6" t="n">
        <v>2</v>
      </c>
      <c r="M8" s="2" t="n">
        <f aca="false">K8-L8</f>
        <v>0</v>
      </c>
      <c r="N8" s="2" t="str">
        <f aca="false">IF(AND(K8&lt;=5,L8&lt;=5),"Only single retrievers miss",IF(AND(K8&gt;5,L8&lt;=5),"Reranker fixed",IF(AND(K8&lt;=5,L8&gt;5),"Reranker broke","Both miss")))</f>
        <v>Only single retrievers miss</v>
      </c>
      <c r="O8" s="2" t="n">
        <v>272</v>
      </c>
      <c r="P8" s="5" t="n">
        <v>0.998</v>
      </c>
    </row>
    <row r="9" customFormat="false" ht="35.05" hidden="false" customHeight="false" outlineLevel="0" collapsed="false">
      <c r="A9" s="2" t="s">
        <v>16</v>
      </c>
      <c r="B9" s="2" t="s">
        <v>44</v>
      </c>
      <c r="C9" s="2" t="s">
        <v>28</v>
      </c>
      <c r="D9" s="2" t="s">
        <v>19</v>
      </c>
      <c r="E9" s="2" t="s">
        <v>45</v>
      </c>
      <c r="F9" s="3" t="s">
        <v>46</v>
      </c>
      <c r="G9" s="4" t="n">
        <v>6</v>
      </c>
      <c r="H9" s="4" t="n">
        <v>10</v>
      </c>
      <c r="I9" s="6" t="n">
        <v>1</v>
      </c>
      <c r="J9" s="6" t="n">
        <v>2</v>
      </c>
      <c r="K9" s="6" t="n">
        <v>2</v>
      </c>
      <c r="L9" s="6" t="n">
        <v>2</v>
      </c>
      <c r="M9" s="2" t="n">
        <f aca="false">K9-L9</f>
        <v>0</v>
      </c>
      <c r="N9" s="2" t="str">
        <f aca="false">IF(AND(K9&lt;=5,L9&lt;=5),"Only single retrievers miss",IF(AND(K9&gt;5,L9&lt;=5),"Reranker fixed",IF(AND(K9&lt;=5,L9&gt;5),"Reranker broke","Both miss")))</f>
        <v>Only single retrievers miss</v>
      </c>
      <c r="O9" s="2" t="n">
        <v>109</v>
      </c>
      <c r="P9" s="5" t="n">
        <v>0.9478</v>
      </c>
    </row>
    <row r="10" customFormat="false" ht="29.85" hidden="false" customHeight="false" outlineLevel="0" collapsed="false">
      <c r="A10" s="2" t="s">
        <v>16</v>
      </c>
      <c r="B10" s="2" t="s">
        <v>47</v>
      </c>
      <c r="C10" s="2" t="s">
        <v>32</v>
      </c>
      <c r="D10" s="2" t="s">
        <v>24</v>
      </c>
      <c r="E10" s="2" t="s">
        <v>48</v>
      </c>
      <c r="F10" s="3" t="s">
        <v>49</v>
      </c>
      <c r="G10" s="4" t="n">
        <v>12</v>
      </c>
      <c r="H10" s="4" t="n">
        <v>13</v>
      </c>
      <c r="I10" s="6" t="n">
        <v>1</v>
      </c>
      <c r="J10" s="6" t="n">
        <v>2</v>
      </c>
      <c r="K10" s="6" t="n">
        <v>2</v>
      </c>
      <c r="L10" s="6" t="n">
        <v>1</v>
      </c>
      <c r="M10" s="2" t="n">
        <f aca="false">K10-L10</f>
        <v>1</v>
      </c>
      <c r="N10" s="2" t="str">
        <f aca="false">IF(AND(K10&lt;=5,L10&lt;=5),"Only single retrievers miss",IF(AND(K10&gt;5,L10&lt;=5),"Reranker fixed",IF(AND(K10&lt;=5,L10&gt;5),"Reranker broke","Both miss")))</f>
        <v>Only single retrievers miss</v>
      </c>
      <c r="O10" s="2" t="n">
        <v>143</v>
      </c>
      <c r="P10" s="5" t="n">
        <v>0.9579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2" t="s">
        <v>28</v>
      </c>
      <c r="D11" s="2" t="s">
        <v>24</v>
      </c>
      <c r="E11" s="2" t="s">
        <v>52</v>
      </c>
      <c r="F11" s="3" t="s">
        <v>53</v>
      </c>
      <c r="G11" s="4" t="s">
        <v>54</v>
      </c>
      <c r="H11" s="4" t="s">
        <v>54</v>
      </c>
      <c r="I11" s="4" t="n">
        <v>35</v>
      </c>
      <c r="J11" s="4" t="n">
        <v>19</v>
      </c>
      <c r="K11" s="4" t="n">
        <v>16</v>
      </c>
      <c r="L11" s="4" t="n">
        <v>20</v>
      </c>
      <c r="M11" s="2" t="n">
        <f aca="false">K11-L11</f>
        <v>-4</v>
      </c>
      <c r="N11" s="2" t="str">
        <f aca="false">IF(AND(K11&lt;=5,L11&lt;=5),"Only single retrievers miss",IF(AND(K11&gt;5,L11&lt;=5),"Reranker fixed",IF(AND(K11&lt;=5,L11&gt;5),"Reranker broke","Both miss")))</f>
        <v>Both miss</v>
      </c>
      <c r="O11" s="2" t="n">
        <v>716</v>
      </c>
      <c r="P11" s="5" t="n">
        <v>0.0969</v>
      </c>
    </row>
    <row r="12" customFormat="false" ht="29.85" hidden="false" customHeight="false" outlineLevel="0" collapsed="false">
      <c r="A12" s="2" t="s">
        <v>50</v>
      </c>
      <c r="B12" s="2" t="s">
        <v>55</v>
      </c>
      <c r="C12" s="2" t="s">
        <v>18</v>
      </c>
      <c r="D12" s="2" t="s">
        <v>24</v>
      </c>
      <c r="E12" s="2" t="s">
        <v>56</v>
      </c>
      <c r="F12" s="7" t="s">
        <v>57</v>
      </c>
      <c r="G12" s="4" t="n">
        <v>28</v>
      </c>
      <c r="H12" s="4" t="n">
        <v>17</v>
      </c>
      <c r="I12" s="4" t="n">
        <v>24</v>
      </c>
      <c r="J12" s="6" t="n">
        <v>4</v>
      </c>
      <c r="K12" s="4" t="n">
        <v>9</v>
      </c>
      <c r="L12" s="6" t="n">
        <v>5</v>
      </c>
      <c r="M12" s="2" t="n">
        <f aca="false">K12-L12</f>
        <v>4</v>
      </c>
      <c r="N12" s="2" t="str">
        <f aca="false">IF(AND(K12&lt;=5,L12&lt;=5),"Only single retrievers miss",IF(AND(K12&gt;5,L12&lt;=5),"Reranker fixed",IF(AND(K12&lt;=5,L12&gt;5),"Reranker broke","Both miss")))</f>
        <v>Reranker fixed</v>
      </c>
      <c r="O12" s="2" t="n">
        <v>192</v>
      </c>
      <c r="P12" s="5" t="n">
        <v>0.8824</v>
      </c>
    </row>
    <row r="13" customFormat="false" ht="29.85" hidden="false" customHeight="false" outlineLevel="0" collapsed="false">
      <c r="A13" s="2" t="s">
        <v>50</v>
      </c>
      <c r="B13" s="2" t="s">
        <v>58</v>
      </c>
      <c r="C13" s="2" t="s">
        <v>28</v>
      </c>
      <c r="D13" s="2" t="s">
        <v>24</v>
      </c>
      <c r="E13" s="2" t="s">
        <v>59</v>
      </c>
      <c r="F13" s="3" t="s">
        <v>60</v>
      </c>
      <c r="G13" s="6" t="n">
        <v>3</v>
      </c>
      <c r="H13" s="4" t="n">
        <v>8</v>
      </c>
      <c r="I13" s="4" t="n">
        <v>11</v>
      </c>
      <c r="J13" s="4" t="n">
        <v>8</v>
      </c>
      <c r="K13" s="4" t="n">
        <v>6</v>
      </c>
      <c r="L13" s="6" t="n">
        <v>4</v>
      </c>
      <c r="M13" s="2" t="n">
        <f aca="false">K13-L13</f>
        <v>2</v>
      </c>
      <c r="N13" s="2" t="str">
        <f aca="false">IF(AND(K13&lt;=5,L13&lt;=5),"Only single retrievers miss",IF(AND(K13&gt;5,L13&lt;=5),"Reranker fixed",IF(AND(K13&lt;=5,L13&gt;5),"Reranker broke","Both miss")))</f>
        <v>Reranker fixed</v>
      </c>
      <c r="O13" s="2" t="n">
        <v>683</v>
      </c>
      <c r="P13" s="5" t="n">
        <v>0.7379</v>
      </c>
    </row>
    <row r="14" customFormat="false" ht="23.85" hidden="false" customHeight="false" outlineLevel="0" collapsed="false">
      <c r="A14" s="2" t="s">
        <v>50</v>
      </c>
      <c r="B14" s="2" t="s">
        <v>61</v>
      </c>
      <c r="C14" s="2" t="s">
        <v>23</v>
      </c>
      <c r="D14" s="2" t="s">
        <v>19</v>
      </c>
      <c r="E14" s="2" t="s">
        <v>62</v>
      </c>
      <c r="F14" s="3" t="s">
        <v>63</v>
      </c>
      <c r="G14" s="4" t="s">
        <v>54</v>
      </c>
      <c r="H14" s="4" t="s">
        <v>54</v>
      </c>
      <c r="I14" s="4" t="s">
        <v>54</v>
      </c>
      <c r="J14" s="6" t="n">
        <v>5</v>
      </c>
      <c r="K14" s="4" t="n">
        <v>18</v>
      </c>
      <c r="L14" s="6" t="n">
        <v>2</v>
      </c>
      <c r="M14" s="2" t="n">
        <f aca="false">K14-L14</f>
        <v>16</v>
      </c>
      <c r="N14" s="2" t="str">
        <f aca="false">IF(AND(K14&lt;=5,L14&lt;=5),"Only single retrievers miss",IF(AND(K14&gt;5,L14&lt;=5),"Reranker fixed",IF(AND(K14&lt;=5,L14&gt;5),"Reranker broke","Both miss")))</f>
        <v>Reranker fixed</v>
      </c>
      <c r="O14" s="2" t="n">
        <v>96</v>
      </c>
      <c r="P14" s="5" t="n">
        <v>0.7712</v>
      </c>
    </row>
    <row r="15" customFormat="false" ht="29.85" hidden="false" customHeight="false" outlineLevel="0" collapsed="false">
      <c r="A15" s="2" t="s">
        <v>50</v>
      </c>
      <c r="B15" s="2" t="s">
        <v>64</v>
      </c>
      <c r="C15" s="2" t="s">
        <v>32</v>
      </c>
      <c r="D15" s="2" t="s">
        <v>24</v>
      </c>
      <c r="E15" s="2" t="s">
        <v>65</v>
      </c>
      <c r="F15" s="3" t="s">
        <v>66</v>
      </c>
      <c r="G15" s="4" t="s">
        <v>54</v>
      </c>
      <c r="H15" s="4" t="s">
        <v>54</v>
      </c>
      <c r="I15" s="4" t="n">
        <v>49</v>
      </c>
      <c r="J15" s="4" t="n">
        <v>7</v>
      </c>
      <c r="K15" s="4" t="n">
        <v>11</v>
      </c>
      <c r="L15" s="6" t="n">
        <v>2</v>
      </c>
      <c r="M15" s="2" t="n">
        <f aca="false">K15-L15</f>
        <v>9</v>
      </c>
      <c r="N15" s="2" t="str">
        <f aca="false">IF(AND(K15&lt;=5,L15&lt;=5),"Only single retrievers miss",IF(AND(K15&gt;5,L15&lt;=5),"Reranker fixed",IF(AND(K15&lt;=5,L15&gt;5),"Reranker broke","Both miss")))</f>
        <v>Reranker fixed</v>
      </c>
      <c r="O15" s="2" t="n">
        <v>380</v>
      </c>
      <c r="P15" s="5" t="n">
        <v>0.8102</v>
      </c>
    </row>
    <row r="16" customFormat="false" ht="26.85" hidden="false" customHeight="false" outlineLevel="0" collapsed="false">
      <c r="A16" s="2" t="s">
        <v>50</v>
      </c>
      <c r="B16" s="2" t="s">
        <v>67</v>
      </c>
      <c r="C16" s="2" t="s">
        <v>32</v>
      </c>
      <c r="D16" s="2" t="s">
        <v>24</v>
      </c>
      <c r="E16" s="2" t="s">
        <v>68</v>
      </c>
      <c r="F16" s="3" t="s">
        <v>69</v>
      </c>
      <c r="G16" s="4" t="s">
        <v>54</v>
      </c>
      <c r="H16" s="4" t="s">
        <v>54</v>
      </c>
      <c r="I16" s="4" t="s">
        <v>54</v>
      </c>
      <c r="J16" s="6" t="n">
        <v>2</v>
      </c>
      <c r="K16" s="4" t="n">
        <v>7</v>
      </c>
      <c r="L16" s="6" t="n">
        <v>2</v>
      </c>
      <c r="M16" s="2" t="n">
        <f aca="false">K16-L16</f>
        <v>5</v>
      </c>
      <c r="N16" s="2" t="str">
        <f aca="false">IF(AND(K16&lt;=5,L16&lt;=5),"Only single retrievers miss",IF(AND(K16&gt;5,L16&lt;=5),"Reranker fixed",IF(AND(K16&lt;=5,L16&gt;5),"Reranker broke","Both miss")))</f>
        <v>Reranker fixed</v>
      </c>
      <c r="O16" s="2" t="n">
        <v>649</v>
      </c>
      <c r="P16" s="5" t="n">
        <v>0.7049</v>
      </c>
    </row>
    <row r="17" customFormat="false" ht="23.85" hidden="false" customHeight="false" outlineLevel="0" collapsed="false">
      <c r="A17" s="2" t="s">
        <v>50</v>
      </c>
      <c r="B17" s="2" t="s">
        <v>70</v>
      </c>
      <c r="C17" s="2" t="s">
        <v>32</v>
      </c>
      <c r="D17" s="2" t="s">
        <v>19</v>
      </c>
      <c r="E17" s="2" t="s">
        <v>56</v>
      </c>
      <c r="F17" s="3" t="s">
        <v>71</v>
      </c>
      <c r="G17" s="4" t="s">
        <v>54</v>
      </c>
      <c r="H17" s="4" t="s">
        <v>54</v>
      </c>
      <c r="I17" s="4" t="s">
        <v>54</v>
      </c>
      <c r="J17" s="6" t="n">
        <v>4</v>
      </c>
      <c r="K17" s="4" t="n">
        <v>10</v>
      </c>
      <c r="L17" s="6" t="n">
        <v>1</v>
      </c>
      <c r="M17" s="2" t="n">
        <f aca="false">K17-L17</f>
        <v>9</v>
      </c>
      <c r="N17" s="2" t="str">
        <f aca="false">IF(AND(K17&lt;=5,L17&lt;=5),"Only single retrievers miss",IF(AND(K17&gt;5,L17&lt;=5),"Reranker fixed",IF(AND(K17&lt;=5,L17&gt;5),"Reranker broke","Both miss")))</f>
        <v>Reranker fixed</v>
      </c>
      <c r="O17" s="2" t="n">
        <v>199</v>
      </c>
      <c r="P17" s="5" t="n">
        <v>0.8649</v>
      </c>
    </row>
    <row r="18" customFormat="false" ht="23.85" hidden="false" customHeight="false" outlineLevel="0" collapsed="false">
      <c r="A18" s="2" t="s">
        <v>50</v>
      </c>
      <c r="B18" s="2" t="s">
        <v>72</v>
      </c>
      <c r="C18" s="2" t="s">
        <v>23</v>
      </c>
      <c r="D18" s="2" t="s">
        <v>19</v>
      </c>
      <c r="E18" s="2" t="s">
        <v>73</v>
      </c>
      <c r="F18" s="3" t="s">
        <v>74</v>
      </c>
      <c r="G18" s="4" t="s">
        <v>54</v>
      </c>
      <c r="H18" s="4" t="n">
        <v>32</v>
      </c>
      <c r="I18" s="4" t="s">
        <v>54</v>
      </c>
      <c r="J18" s="6" t="n">
        <v>2</v>
      </c>
      <c r="K18" s="4" t="n">
        <v>8</v>
      </c>
      <c r="L18" s="6" t="n">
        <v>1</v>
      </c>
      <c r="M18" s="2" t="n">
        <f aca="false">K18-L18</f>
        <v>7</v>
      </c>
      <c r="N18" s="2" t="str">
        <f aca="false">IF(AND(K18&lt;=5,L18&lt;=5),"Only single retrievers miss",IF(AND(K18&gt;5,L18&lt;=5),"Reranker fixed",IF(AND(K18&lt;=5,L18&gt;5),"Reranker broke","Both miss")))</f>
        <v>Reranker fixed</v>
      </c>
      <c r="O18" s="2" t="n">
        <v>30</v>
      </c>
      <c r="P18" s="5" t="n">
        <v>0.9564</v>
      </c>
    </row>
    <row r="19" customFormat="false" ht="23.85" hidden="false" customHeight="false" outlineLevel="0" collapsed="false">
      <c r="A19" s="2" t="s">
        <v>50</v>
      </c>
      <c r="B19" s="2" t="s">
        <v>75</v>
      </c>
      <c r="C19" s="2" t="s">
        <v>23</v>
      </c>
      <c r="D19" s="2" t="s">
        <v>19</v>
      </c>
      <c r="E19" s="2" t="s">
        <v>76</v>
      </c>
      <c r="F19" s="3" t="s">
        <v>77</v>
      </c>
      <c r="G19" s="4" t="s">
        <v>54</v>
      </c>
      <c r="H19" s="4" t="s">
        <v>54</v>
      </c>
      <c r="I19" s="4" t="s">
        <v>54</v>
      </c>
      <c r="J19" s="6" t="n">
        <v>1</v>
      </c>
      <c r="K19" s="4" t="n">
        <v>6</v>
      </c>
      <c r="L19" s="6" t="n">
        <v>1</v>
      </c>
      <c r="M19" s="2" t="n">
        <f aca="false">K19-L19</f>
        <v>5</v>
      </c>
      <c r="N19" s="2" t="str">
        <f aca="false">IF(AND(K19&lt;=5,L19&lt;=5),"Only single retrievers miss",IF(AND(K19&gt;5,L19&lt;=5),"Reranker fixed",IF(AND(K19&lt;=5,L19&gt;5),"Reranker broke","Both miss")))</f>
        <v>Reranker fixed</v>
      </c>
      <c r="O19" s="2" t="n">
        <v>295</v>
      </c>
      <c r="P19" s="5" t="n">
        <v>0.9654</v>
      </c>
    </row>
    <row r="20" customFormat="false" ht="29.85" hidden="false" customHeight="false" outlineLevel="0" collapsed="false">
      <c r="A20" s="2" t="s">
        <v>50</v>
      </c>
      <c r="B20" s="2" t="s">
        <v>78</v>
      </c>
      <c r="C20" s="2" t="s">
        <v>18</v>
      </c>
      <c r="D20" s="2" t="s">
        <v>24</v>
      </c>
      <c r="E20" s="2" t="s">
        <v>79</v>
      </c>
      <c r="F20" s="7" t="s">
        <v>80</v>
      </c>
      <c r="G20" s="4" t="n">
        <v>37</v>
      </c>
      <c r="H20" s="4" t="n">
        <v>27</v>
      </c>
      <c r="I20" s="4" t="n">
        <v>6</v>
      </c>
      <c r="J20" s="6" t="n">
        <v>1</v>
      </c>
      <c r="K20" s="4" t="n">
        <v>6</v>
      </c>
      <c r="L20" s="6" t="n">
        <v>1</v>
      </c>
      <c r="M20" s="2" t="n">
        <f aca="false">K20-L20</f>
        <v>5</v>
      </c>
      <c r="N20" s="2" t="str">
        <f aca="false">IF(AND(K20&lt;=5,L20&lt;=5),"Only single retrievers miss",IF(AND(K20&gt;5,L20&lt;=5),"Reranker fixed",IF(AND(K20&lt;=5,L20&gt;5),"Reranker broke","Both miss")))</f>
        <v>Reranker fixed</v>
      </c>
      <c r="O20" s="2" t="n">
        <v>312</v>
      </c>
      <c r="P20" s="5" t="n">
        <v>0.9701</v>
      </c>
    </row>
    <row r="21" customFormat="false" ht="23.85" hidden="false" customHeight="false" outlineLevel="0" collapsed="false">
      <c r="A21" s="2" t="s">
        <v>50</v>
      </c>
      <c r="B21" s="2" t="s">
        <v>81</v>
      </c>
      <c r="C21" s="2" t="s">
        <v>32</v>
      </c>
      <c r="D21" s="2" t="s">
        <v>19</v>
      </c>
      <c r="E21" s="2" t="s">
        <v>82</v>
      </c>
      <c r="F21" s="3" t="s">
        <v>83</v>
      </c>
      <c r="G21" s="6" t="n">
        <v>1</v>
      </c>
      <c r="H21" s="6" t="n">
        <v>1</v>
      </c>
      <c r="I21" s="4" t="n">
        <v>7</v>
      </c>
      <c r="J21" s="6" t="n">
        <v>3</v>
      </c>
      <c r="K21" s="6" t="n">
        <v>2</v>
      </c>
      <c r="L21" s="6" t="n">
        <v>2</v>
      </c>
      <c r="M21" s="2" t="n">
        <f aca="false">K21-L21</f>
        <v>0</v>
      </c>
      <c r="N21" s="2" t="str">
        <f aca="false">IF(AND(K21&lt;=5,L21&lt;=5),"Only single retrievers miss",IF(AND(K21&gt;5,L21&lt;=5),"Reranker fixed",IF(AND(K21&lt;=5,L21&gt;5),"Reranker broke","Both miss")))</f>
        <v>Only single retrievers miss</v>
      </c>
      <c r="O21" s="2" t="n">
        <v>423</v>
      </c>
      <c r="P21" s="5" t="n">
        <v>0.565</v>
      </c>
    </row>
    <row r="22" customFormat="false" ht="15" hidden="false" customHeight="false" outlineLevel="0" collapsed="false">
      <c r="A22" s="2" t="s">
        <v>50</v>
      </c>
      <c r="B22" s="2" t="s">
        <v>84</v>
      </c>
      <c r="C22" s="2" t="s">
        <v>28</v>
      </c>
      <c r="D22" s="2" t="s">
        <v>24</v>
      </c>
      <c r="E22" s="2" t="s">
        <v>85</v>
      </c>
      <c r="F22" s="7" t="s">
        <v>86</v>
      </c>
      <c r="G22" s="4" t="n">
        <v>16</v>
      </c>
      <c r="H22" s="4" t="n">
        <v>16</v>
      </c>
      <c r="I22" s="4" t="n">
        <v>13</v>
      </c>
      <c r="J22" s="6" t="n">
        <v>1</v>
      </c>
      <c r="K22" s="6" t="n">
        <v>2</v>
      </c>
      <c r="L22" s="6" t="n">
        <v>2</v>
      </c>
      <c r="M22" s="2" t="n">
        <f aca="false">K22-L22</f>
        <v>0</v>
      </c>
      <c r="N22" s="2" t="str">
        <f aca="false">IF(AND(K22&lt;=5,L22&lt;=5),"Only single retrievers miss",IF(AND(K22&gt;5,L22&lt;=5),"Reranker fixed",IF(AND(K22&lt;=5,L22&gt;5),"Reranker broke","Both miss")))</f>
        <v>Only single retrievers miss</v>
      </c>
      <c r="O22" s="2" t="n">
        <v>1074</v>
      </c>
      <c r="P22" s="5" t="n">
        <v>0.974</v>
      </c>
    </row>
    <row r="23" customFormat="false" ht="29.85" hidden="false" customHeight="false" outlineLevel="0" collapsed="false">
      <c r="A23" s="2" t="s">
        <v>50</v>
      </c>
      <c r="B23" s="2" t="s">
        <v>87</v>
      </c>
      <c r="C23" s="2" t="s">
        <v>28</v>
      </c>
      <c r="D23" s="2" t="s">
        <v>24</v>
      </c>
      <c r="E23" s="2" t="s">
        <v>88</v>
      </c>
      <c r="F23" s="7" t="s">
        <v>89</v>
      </c>
      <c r="G23" s="4" t="s">
        <v>54</v>
      </c>
      <c r="H23" s="4" t="s">
        <v>54</v>
      </c>
      <c r="I23" s="4" t="n">
        <v>15</v>
      </c>
      <c r="J23" s="6" t="n">
        <v>1</v>
      </c>
      <c r="K23" s="6" t="n">
        <v>4</v>
      </c>
      <c r="L23" s="6" t="n">
        <v>1</v>
      </c>
      <c r="M23" s="2" t="n">
        <f aca="false">K23-L23</f>
        <v>3</v>
      </c>
      <c r="N23" s="2" t="str">
        <f aca="false">IF(AND(K23&lt;=5,L23&lt;=5),"Only single retrievers miss",IF(AND(K23&gt;5,L23&lt;=5),"Reranker fixed",IF(AND(K23&lt;=5,L23&gt;5),"Reranker broke","Both miss")))</f>
        <v>Only single retrievers miss</v>
      </c>
      <c r="O23" s="2" t="n">
        <v>668</v>
      </c>
      <c r="P23" s="5" t="n">
        <v>0.957</v>
      </c>
    </row>
    <row r="24" customFormat="false" ht="23.85" hidden="false" customHeight="false" outlineLevel="0" collapsed="false">
      <c r="A24" s="2" t="s">
        <v>50</v>
      </c>
      <c r="B24" s="2" t="s">
        <v>90</v>
      </c>
      <c r="C24" s="2" t="s">
        <v>32</v>
      </c>
      <c r="D24" s="2" t="s">
        <v>19</v>
      </c>
      <c r="E24" s="2" t="s">
        <v>91</v>
      </c>
      <c r="F24" s="3" t="s">
        <v>92</v>
      </c>
      <c r="G24" s="4" t="n">
        <v>16</v>
      </c>
      <c r="H24" s="6" t="n">
        <v>3</v>
      </c>
      <c r="I24" s="6" t="n">
        <v>1</v>
      </c>
      <c r="J24" s="6" t="n">
        <v>1</v>
      </c>
      <c r="K24" s="6" t="n">
        <v>1</v>
      </c>
      <c r="L24" s="6" t="n">
        <v>1</v>
      </c>
      <c r="M24" s="2" t="n">
        <f aca="false">K24-L24</f>
        <v>0</v>
      </c>
      <c r="N24" s="2" t="str">
        <f aca="false">IF(AND(K24&lt;=5,L24&lt;=5),"Only single retrievers miss",IF(AND(K24&gt;5,L24&lt;=5),"Reranker fixed",IF(AND(K24&lt;=5,L24&gt;5),"Reranker broke","Both miss")))</f>
        <v>Only single retrievers miss</v>
      </c>
      <c r="O24" s="2" t="n">
        <v>706</v>
      </c>
      <c r="P24" s="5" t="n">
        <v>0.9642</v>
      </c>
    </row>
    <row r="25" customFormat="false" ht="15" hidden="false" customHeight="false" outlineLevel="0" collapsed="false">
      <c r="A25" s="2" t="s">
        <v>50</v>
      </c>
      <c r="B25" s="2" t="s">
        <v>93</v>
      </c>
      <c r="C25" s="2" t="s">
        <v>23</v>
      </c>
      <c r="D25" s="2" t="s">
        <v>19</v>
      </c>
      <c r="E25" s="2" t="s">
        <v>94</v>
      </c>
      <c r="F25" s="3" t="s">
        <v>95</v>
      </c>
      <c r="G25" s="4" t="n">
        <v>7</v>
      </c>
      <c r="H25" s="6" t="n">
        <v>2</v>
      </c>
      <c r="I25" s="6" t="n">
        <v>1</v>
      </c>
      <c r="J25" s="6" t="n">
        <v>1</v>
      </c>
      <c r="K25" s="6" t="n">
        <v>1</v>
      </c>
      <c r="L25" s="6" t="n">
        <v>1</v>
      </c>
      <c r="M25" s="2" t="n">
        <f aca="false">K25-L25</f>
        <v>0</v>
      </c>
      <c r="N25" s="2" t="str">
        <f aca="false">IF(AND(K25&lt;=5,L25&lt;=5),"Only single retrievers miss",IF(AND(K25&gt;5,L25&lt;=5),"Reranker fixed",IF(AND(K25&lt;=5,L25&gt;5),"Reranker broke","Both miss")))</f>
        <v>Only single retrievers miss</v>
      </c>
      <c r="O25" s="2" t="n">
        <v>193</v>
      </c>
      <c r="P25" s="5" t="n">
        <v>0.9647</v>
      </c>
    </row>
    <row r="26" customFormat="false" ht="26.85" hidden="false" customHeight="false" outlineLevel="0" collapsed="false">
      <c r="A26" s="2" t="s">
        <v>50</v>
      </c>
      <c r="B26" s="2" t="s">
        <v>96</v>
      </c>
      <c r="C26" s="2" t="s">
        <v>23</v>
      </c>
      <c r="D26" s="2" t="s">
        <v>24</v>
      </c>
      <c r="E26" s="2" t="s">
        <v>97</v>
      </c>
      <c r="F26" s="3" t="s">
        <v>98</v>
      </c>
      <c r="G26" s="4" t="n">
        <v>25</v>
      </c>
      <c r="H26" s="6" t="n">
        <v>4</v>
      </c>
      <c r="I26" s="6" t="n">
        <v>5</v>
      </c>
      <c r="J26" s="6" t="n">
        <v>2</v>
      </c>
      <c r="K26" s="6" t="n">
        <v>1</v>
      </c>
      <c r="L26" s="6" t="n">
        <v>1</v>
      </c>
      <c r="M26" s="2" t="n">
        <f aca="false">K26-L26</f>
        <v>0</v>
      </c>
      <c r="N26" s="2" t="str">
        <f aca="false">IF(AND(K26&lt;=5,L26&lt;=5),"Only single retrievers miss",IF(AND(K26&gt;5,L26&lt;=5),"Reranker fixed",IF(AND(K26&lt;=5,L26&gt;5),"Reranker broke","Both miss")))</f>
        <v>Only single retrievers miss</v>
      </c>
      <c r="O26" s="2" t="n">
        <v>258</v>
      </c>
      <c r="P26" s="5" t="n">
        <v>0.9834</v>
      </c>
    </row>
    <row r="27" customFormat="false" ht="23.85" hidden="false" customHeight="false" outlineLevel="0" collapsed="false">
      <c r="A27" s="2" t="s">
        <v>50</v>
      </c>
      <c r="B27" s="2" t="s">
        <v>99</v>
      </c>
      <c r="C27" s="2" t="s">
        <v>23</v>
      </c>
      <c r="D27" s="2" t="s">
        <v>19</v>
      </c>
      <c r="E27" s="2" t="s">
        <v>100</v>
      </c>
      <c r="F27" s="3" t="s">
        <v>101</v>
      </c>
      <c r="G27" s="6" t="n">
        <v>1</v>
      </c>
      <c r="H27" s="6" t="n">
        <v>1</v>
      </c>
      <c r="I27" s="4" t="n">
        <v>6</v>
      </c>
      <c r="J27" s="6" t="n">
        <v>1</v>
      </c>
      <c r="K27" s="6" t="n">
        <v>1</v>
      </c>
      <c r="L27" s="6" t="n">
        <v>1</v>
      </c>
      <c r="M27" s="2" t="n">
        <f aca="false">K27-L27</f>
        <v>0</v>
      </c>
      <c r="N27" s="2" t="str">
        <f aca="false">IF(AND(K27&lt;=5,L27&lt;=5),"Only single retrievers miss",IF(AND(K27&gt;5,L27&lt;=5),"Reranker fixed",IF(AND(K27&lt;=5,L27&gt;5),"Reranker broke","Both miss")))</f>
        <v>Only single retrievers miss</v>
      </c>
      <c r="O27" s="2" t="n">
        <v>308</v>
      </c>
      <c r="P27" s="5" t="n">
        <v>0.9689</v>
      </c>
    </row>
    <row r="28" customFormat="false" ht="29.85" hidden="false" customHeight="false" outlineLevel="0" collapsed="false">
      <c r="A28" s="2" t="s">
        <v>50</v>
      </c>
      <c r="B28" s="2" t="s">
        <v>102</v>
      </c>
      <c r="C28" s="2" t="s">
        <v>18</v>
      </c>
      <c r="D28" s="2" t="s">
        <v>24</v>
      </c>
      <c r="E28" s="2" t="s">
        <v>103</v>
      </c>
      <c r="F28" s="7" t="s">
        <v>104</v>
      </c>
      <c r="G28" s="4" t="n">
        <v>6</v>
      </c>
      <c r="H28" s="4" t="n">
        <v>7</v>
      </c>
      <c r="I28" s="6" t="n">
        <v>1</v>
      </c>
      <c r="J28" s="6" t="n">
        <v>1</v>
      </c>
      <c r="K28" s="6" t="n">
        <v>1</v>
      </c>
      <c r="L28" s="6" t="n">
        <v>1</v>
      </c>
      <c r="M28" s="2" t="n">
        <f aca="false">K28-L28</f>
        <v>0</v>
      </c>
      <c r="N28" s="2" t="str">
        <f aca="false">IF(AND(K28&lt;=5,L28&lt;=5),"Only single retrievers miss",IF(AND(K28&gt;5,L28&lt;=5),"Reranker fixed",IF(AND(K28&lt;=5,L28&gt;5),"Reranker broke","Both miss")))</f>
        <v>Only single retrievers miss</v>
      </c>
      <c r="O28" s="2" t="n">
        <v>459</v>
      </c>
      <c r="P28" s="5" t="n">
        <v>0.9752</v>
      </c>
    </row>
    <row r="29" customFormat="false" ht="29.85" hidden="false" customHeight="false" outlineLevel="0" collapsed="false">
      <c r="A29" s="2" t="s">
        <v>50</v>
      </c>
      <c r="B29" s="2" t="s">
        <v>105</v>
      </c>
      <c r="C29" s="2" t="s">
        <v>28</v>
      </c>
      <c r="D29" s="2" t="s">
        <v>24</v>
      </c>
      <c r="E29" s="2" t="s">
        <v>106</v>
      </c>
      <c r="F29" s="3" t="s">
        <v>107</v>
      </c>
      <c r="G29" s="4" t="n">
        <v>6</v>
      </c>
      <c r="H29" s="6" t="n">
        <v>4</v>
      </c>
      <c r="I29" s="6" t="n">
        <v>3</v>
      </c>
      <c r="J29" s="6" t="n">
        <v>1</v>
      </c>
      <c r="K29" s="6" t="n">
        <v>1</v>
      </c>
      <c r="L29" s="6" t="n">
        <v>1</v>
      </c>
      <c r="M29" s="2" t="n">
        <f aca="false">K29-L29</f>
        <v>0</v>
      </c>
      <c r="N29" s="2" t="str">
        <f aca="false">IF(AND(K29&lt;=5,L29&lt;=5),"Only single retrievers miss",IF(AND(K29&gt;5,L29&lt;=5),"Reranker fixed",IF(AND(K29&lt;=5,L29&gt;5),"Reranker broke","Both miss")))</f>
        <v>Only single retrievers miss</v>
      </c>
      <c r="O29" s="2" t="n">
        <v>339</v>
      </c>
      <c r="P29" s="5" t="n">
        <v>0.9891</v>
      </c>
    </row>
    <row r="30" customFormat="false" ht="35.05" hidden="false" customHeight="false" outlineLevel="0" collapsed="false">
      <c r="A30" s="2" t="s">
        <v>108</v>
      </c>
      <c r="B30" s="2" t="s">
        <v>109</v>
      </c>
      <c r="C30" s="2" t="s">
        <v>28</v>
      </c>
      <c r="D30" s="2" t="s">
        <v>19</v>
      </c>
      <c r="E30" s="2" t="s">
        <v>110</v>
      </c>
      <c r="F30" s="3" t="s">
        <v>111</v>
      </c>
      <c r="G30" s="4" t="s">
        <v>54</v>
      </c>
      <c r="H30" s="4" t="s">
        <v>54</v>
      </c>
      <c r="I30" s="4" t="s">
        <v>54</v>
      </c>
      <c r="J30" s="6" t="n">
        <v>4</v>
      </c>
      <c r="K30" s="4" t="n">
        <v>23</v>
      </c>
      <c r="L30" s="4" t="n">
        <v>8</v>
      </c>
      <c r="M30" s="2" t="n">
        <f aca="false">K30-L30</f>
        <v>15</v>
      </c>
      <c r="N30" s="2" t="str">
        <f aca="false">IF(AND(K30&lt;=5,L30&lt;=5),"Only single retrievers miss",IF(AND(K30&gt;5,L30&lt;=5),"Reranker fixed",IF(AND(K30&lt;=5,L30&gt;5),"Reranker broke","Both miss")))</f>
        <v>Both miss</v>
      </c>
      <c r="O30" s="2" t="n">
        <v>45</v>
      </c>
      <c r="P30" s="5" t="n">
        <v>0.6336</v>
      </c>
    </row>
    <row r="31" customFormat="false" ht="23.85" hidden="false" customHeight="false" outlineLevel="0" collapsed="false">
      <c r="A31" s="2" t="s">
        <v>108</v>
      </c>
      <c r="B31" s="2" t="s">
        <v>112</v>
      </c>
      <c r="C31" s="2" t="s">
        <v>28</v>
      </c>
      <c r="D31" s="2" t="s">
        <v>19</v>
      </c>
      <c r="E31" s="2" t="s">
        <v>113</v>
      </c>
      <c r="F31" s="3" t="s">
        <v>114</v>
      </c>
      <c r="G31" s="4" t="n">
        <v>28</v>
      </c>
      <c r="H31" s="4" t="s">
        <v>54</v>
      </c>
      <c r="I31" s="6" t="n">
        <v>4</v>
      </c>
      <c r="J31" s="6" t="n">
        <v>3</v>
      </c>
      <c r="K31" s="6" t="n">
        <v>1</v>
      </c>
      <c r="L31" s="4" t="n">
        <v>7</v>
      </c>
      <c r="M31" s="2" t="n">
        <f aca="false">K31-L31</f>
        <v>-6</v>
      </c>
      <c r="N31" s="2" t="str">
        <f aca="false">IF(AND(K31&lt;=5,L31&lt;=5),"Only single retrievers miss",IF(AND(K31&gt;5,L31&lt;=5),"Reranker fixed",IF(AND(K31&lt;=5,L31&gt;5),"Reranker broke","Both miss")))</f>
        <v>Reranker broke</v>
      </c>
      <c r="O31" s="2" t="n">
        <v>410</v>
      </c>
      <c r="P31" s="5" t="n">
        <v>0.3469</v>
      </c>
    </row>
    <row r="32" customFormat="false" ht="15" hidden="false" customHeight="false" outlineLevel="0" collapsed="false">
      <c r="A32" s="2" t="s">
        <v>108</v>
      </c>
      <c r="B32" s="2" t="s">
        <v>115</v>
      </c>
      <c r="C32" s="2" t="s">
        <v>32</v>
      </c>
      <c r="D32" s="2" t="s">
        <v>24</v>
      </c>
      <c r="E32" s="2" t="s">
        <v>116</v>
      </c>
      <c r="F32" s="7" t="s">
        <v>117</v>
      </c>
      <c r="G32" s="6" t="n">
        <v>3</v>
      </c>
      <c r="H32" s="6" t="n">
        <v>2</v>
      </c>
      <c r="I32" s="4" t="n">
        <v>12</v>
      </c>
      <c r="J32" s="4" t="n">
        <v>25</v>
      </c>
      <c r="K32" s="4" t="n">
        <v>11</v>
      </c>
      <c r="L32" s="6" t="n">
        <v>3</v>
      </c>
      <c r="M32" s="2" t="n">
        <f aca="false">K32-L32</f>
        <v>8</v>
      </c>
      <c r="N32" s="2" t="str">
        <f aca="false">IF(AND(K32&lt;=5,L32&lt;=5),"Only single retrievers miss",IF(AND(K32&gt;5,L32&lt;=5),"Reranker fixed",IF(AND(K32&lt;=5,L32&gt;5),"Reranker broke","Both miss")))</f>
        <v>Reranker fixed</v>
      </c>
      <c r="O32" s="2" t="n">
        <v>560</v>
      </c>
      <c r="P32" s="5" t="n">
        <v>0.8016</v>
      </c>
    </row>
    <row r="33" customFormat="false" ht="23.85" hidden="false" customHeight="false" outlineLevel="0" collapsed="false">
      <c r="A33" s="2" t="s">
        <v>108</v>
      </c>
      <c r="B33" s="2" t="s">
        <v>118</v>
      </c>
      <c r="C33" s="2" t="s">
        <v>28</v>
      </c>
      <c r="D33" s="2" t="s">
        <v>19</v>
      </c>
      <c r="E33" s="2" t="s">
        <v>119</v>
      </c>
      <c r="F33" s="3" t="s">
        <v>120</v>
      </c>
      <c r="G33" s="4" t="n">
        <v>9</v>
      </c>
      <c r="H33" s="6" t="n">
        <v>4</v>
      </c>
      <c r="I33" s="6" t="n">
        <v>4</v>
      </c>
      <c r="J33" s="4" t="n">
        <v>18</v>
      </c>
      <c r="K33" s="4" t="n">
        <v>7</v>
      </c>
      <c r="L33" s="6" t="n">
        <v>3</v>
      </c>
      <c r="M33" s="2" t="n">
        <f aca="false">K33-L33</f>
        <v>4</v>
      </c>
      <c r="N33" s="2" t="str">
        <f aca="false">IF(AND(K33&lt;=5,L33&lt;=5),"Only single retrievers miss",IF(AND(K33&gt;5,L33&lt;=5),"Reranker fixed",IF(AND(K33&lt;=5,L33&gt;5),"Reranker broke","Both miss")))</f>
        <v>Reranker fixed</v>
      </c>
      <c r="O33" s="2" t="n">
        <v>869</v>
      </c>
      <c r="P33" s="5" t="n">
        <v>0.9411</v>
      </c>
    </row>
    <row r="34" customFormat="false" ht="15" hidden="false" customHeight="false" outlineLevel="0" collapsed="false">
      <c r="A34" s="2" t="s">
        <v>108</v>
      </c>
      <c r="B34" s="2" t="s">
        <v>121</v>
      </c>
      <c r="C34" s="2" t="s">
        <v>32</v>
      </c>
      <c r="D34" s="2" t="s">
        <v>24</v>
      </c>
      <c r="E34" s="2" t="s">
        <v>122</v>
      </c>
      <c r="F34" s="7" t="s">
        <v>123</v>
      </c>
      <c r="G34" s="4" t="n">
        <v>11</v>
      </c>
      <c r="H34" s="4" t="n">
        <v>13</v>
      </c>
      <c r="I34" s="4" t="n">
        <v>33</v>
      </c>
      <c r="J34" s="6" t="n">
        <v>2</v>
      </c>
      <c r="K34" s="4" t="n">
        <v>7</v>
      </c>
      <c r="L34" s="6" t="n">
        <v>2</v>
      </c>
      <c r="M34" s="2" t="n">
        <f aca="false">K34-L34</f>
        <v>5</v>
      </c>
      <c r="N34" s="2" t="str">
        <f aca="false">IF(AND(K34&lt;=5,L34&lt;=5),"Only single retrievers miss",IF(AND(K34&gt;5,L34&lt;=5),"Reranker fixed",IF(AND(K34&lt;=5,L34&gt;5),"Reranker broke","Both miss")))</f>
        <v>Reranker fixed</v>
      </c>
      <c r="O34" s="2" t="n">
        <v>483</v>
      </c>
      <c r="P34" s="5" t="n">
        <v>0.9557</v>
      </c>
    </row>
    <row r="35" customFormat="false" ht="29.85" hidden="false" customHeight="false" outlineLevel="0" collapsed="false">
      <c r="A35" s="2" t="s">
        <v>108</v>
      </c>
      <c r="B35" s="2" t="s">
        <v>124</v>
      </c>
      <c r="C35" s="2" t="s">
        <v>32</v>
      </c>
      <c r="D35" s="2" t="s">
        <v>24</v>
      </c>
      <c r="E35" s="2" t="s">
        <v>125</v>
      </c>
      <c r="F35" s="7" t="s">
        <v>126</v>
      </c>
      <c r="G35" s="6" t="n">
        <v>2</v>
      </c>
      <c r="H35" s="4" t="n">
        <v>7</v>
      </c>
      <c r="I35" s="6" t="n">
        <v>1</v>
      </c>
      <c r="J35" s="4" t="n">
        <v>17</v>
      </c>
      <c r="K35" s="4" t="n">
        <v>9</v>
      </c>
      <c r="L35" s="6" t="n">
        <v>1</v>
      </c>
      <c r="M35" s="2" t="n">
        <f aca="false">K35-L35</f>
        <v>8</v>
      </c>
      <c r="N35" s="2" t="str">
        <f aca="false">IF(AND(K35&lt;=5,L35&lt;=5),"Only single retrievers miss",IF(AND(K35&gt;5,L35&lt;=5),"Reranker fixed",IF(AND(K35&lt;=5,L35&gt;5),"Reranker broke","Both miss")))</f>
        <v>Reranker fixed</v>
      </c>
      <c r="O35" s="2" t="n">
        <v>683</v>
      </c>
      <c r="P35" s="5" t="n">
        <v>0.9149</v>
      </c>
    </row>
    <row r="36" customFormat="false" ht="23.85" hidden="false" customHeight="false" outlineLevel="0" collapsed="false">
      <c r="A36" s="2" t="s">
        <v>108</v>
      </c>
      <c r="B36" s="2" t="s">
        <v>127</v>
      </c>
      <c r="C36" s="2" t="s">
        <v>18</v>
      </c>
      <c r="D36" s="2" t="s">
        <v>19</v>
      </c>
      <c r="E36" s="2" t="s">
        <v>128</v>
      </c>
      <c r="F36" s="3" t="s">
        <v>129</v>
      </c>
      <c r="G36" s="4" t="s">
        <v>54</v>
      </c>
      <c r="H36" s="4" t="s">
        <v>54</v>
      </c>
      <c r="I36" s="4" t="s">
        <v>54</v>
      </c>
      <c r="J36" s="6" t="n">
        <v>1</v>
      </c>
      <c r="K36" s="4" t="n">
        <v>8</v>
      </c>
      <c r="L36" s="6" t="n">
        <v>1</v>
      </c>
      <c r="M36" s="2" t="n">
        <f aca="false">K36-L36</f>
        <v>7</v>
      </c>
      <c r="N36" s="2" t="str">
        <f aca="false">IF(AND(K36&lt;=5,L36&lt;=5),"Only single retrievers miss",IF(AND(K36&gt;5,L36&lt;=5),"Reranker fixed",IF(AND(K36&lt;=5,L36&gt;5),"Reranker broke","Both miss")))</f>
        <v>Reranker fixed</v>
      </c>
      <c r="O36" s="2" t="n">
        <v>139</v>
      </c>
      <c r="P36" s="5" t="n">
        <v>0.011</v>
      </c>
    </row>
    <row r="37" customFormat="false" ht="23.85" hidden="false" customHeight="false" outlineLevel="0" collapsed="false">
      <c r="A37" s="2" t="s">
        <v>108</v>
      </c>
      <c r="B37" s="2" t="s">
        <v>130</v>
      </c>
      <c r="C37" s="2" t="s">
        <v>18</v>
      </c>
      <c r="D37" s="2" t="s">
        <v>19</v>
      </c>
      <c r="E37" s="2" t="s">
        <v>131</v>
      </c>
      <c r="F37" s="3" t="s">
        <v>132</v>
      </c>
      <c r="G37" s="4" t="n">
        <v>22</v>
      </c>
      <c r="H37" s="4" t="s">
        <v>54</v>
      </c>
      <c r="I37" s="4" t="n">
        <v>26</v>
      </c>
      <c r="J37" s="6" t="n">
        <v>1</v>
      </c>
      <c r="K37" s="4" t="n">
        <v>8</v>
      </c>
      <c r="L37" s="6" t="n">
        <v>1</v>
      </c>
      <c r="M37" s="2" t="n">
        <f aca="false">K37-L37</f>
        <v>7</v>
      </c>
      <c r="N37" s="2" t="str">
        <f aca="false">IF(AND(K37&lt;=5,L37&lt;=5),"Only single retrievers miss",IF(AND(K37&gt;5,L37&lt;=5),"Reranker fixed",IF(AND(K37&lt;=5,L37&gt;5),"Reranker broke","Both miss")))</f>
        <v>Reranker fixed</v>
      </c>
      <c r="O37" s="2" t="n">
        <v>414</v>
      </c>
      <c r="P37" s="5" t="n">
        <v>0.9775</v>
      </c>
    </row>
    <row r="38" customFormat="false" ht="29.85" hidden="false" customHeight="false" outlineLevel="0" collapsed="false">
      <c r="A38" s="2" t="s">
        <v>108</v>
      </c>
      <c r="B38" s="2" t="s">
        <v>133</v>
      </c>
      <c r="C38" s="2" t="s">
        <v>32</v>
      </c>
      <c r="D38" s="2" t="s">
        <v>24</v>
      </c>
      <c r="E38" s="2" t="s">
        <v>134</v>
      </c>
      <c r="F38" s="7" t="s">
        <v>135</v>
      </c>
      <c r="G38" s="4" t="n">
        <v>15</v>
      </c>
      <c r="H38" s="4" t="s">
        <v>54</v>
      </c>
      <c r="I38" s="4" t="n">
        <v>7</v>
      </c>
      <c r="J38" s="6" t="n">
        <v>1</v>
      </c>
      <c r="K38" s="6" t="n">
        <v>4</v>
      </c>
      <c r="L38" s="6" t="n">
        <v>2</v>
      </c>
      <c r="M38" s="2" t="n">
        <f aca="false">K38-L38</f>
        <v>2</v>
      </c>
      <c r="N38" s="2" t="str">
        <f aca="false">IF(AND(K38&lt;=5,L38&lt;=5),"Only single retrievers miss",IF(AND(K38&gt;5,L38&lt;=5),"Reranker fixed",IF(AND(K38&lt;=5,L38&gt;5),"Reranker broke","Both miss")))</f>
        <v>Only single retrievers miss</v>
      </c>
      <c r="O38" s="2" t="n">
        <v>225</v>
      </c>
      <c r="P38" s="5" t="n">
        <v>0.635</v>
      </c>
    </row>
    <row r="39" customFormat="false" ht="23.85" hidden="false" customHeight="false" outlineLevel="0" collapsed="false">
      <c r="A39" s="2" t="s">
        <v>108</v>
      </c>
      <c r="B39" s="2" t="s">
        <v>136</v>
      </c>
      <c r="C39" s="2" t="s">
        <v>18</v>
      </c>
      <c r="D39" s="2" t="s">
        <v>19</v>
      </c>
      <c r="E39" s="2" t="s">
        <v>137</v>
      </c>
      <c r="F39" s="3" t="s">
        <v>138</v>
      </c>
      <c r="G39" s="6" t="n">
        <v>1</v>
      </c>
      <c r="H39" s="6" t="n">
        <v>1</v>
      </c>
      <c r="I39" s="6" t="n">
        <v>1</v>
      </c>
      <c r="J39" s="4" t="n">
        <v>7</v>
      </c>
      <c r="K39" s="6" t="n">
        <v>3</v>
      </c>
      <c r="L39" s="6" t="n">
        <v>2</v>
      </c>
      <c r="M39" s="2" t="n">
        <f aca="false">K39-L39</f>
        <v>1</v>
      </c>
      <c r="N39" s="2" t="str">
        <f aca="false">IF(AND(K39&lt;=5,L39&lt;=5),"Only single retrievers miss",IF(AND(K39&gt;5,L39&lt;=5),"Reranker fixed",IF(AND(K39&lt;=5,L39&gt;5),"Reranker broke","Both miss")))</f>
        <v>Only single retrievers miss</v>
      </c>
      <c r="O39" s="2" t="n">
        <v>69</v>
      </c>
      <c r="P39" s="5" t="n">
        <v>0.5315</v>
      </c>
    </row>
    <row r="40" customFormat="false" ht="15" hidden="false" customHeight="false" outlineLevel="0" collapsed="false">
      <c r="A40" s="2" t="s">
        <v>108</v>
      </c>
      <c r="B40" s="2" t="s">
        <v>139</v>
      </c>
      <c r="C40" s="2" t="s">
        <v>32</v>
      </c>
      <c r="D40" s="2" t="s">
        <v>24</v>
      </c>
      <c r="E40" s="2" t="s">
        <v>140</v>
      </c>
      <c r="F40" s="7" t="s">
        <v>141</v>
      </c>
      <c r="G40" s="4" t="n">
        <v>6</v>
      </c>
      <c r="H40" s="4" t="n">
        <v>6</v>
      </c>
      <c r="I40" s="4" t="n">
        <v>8</v>
      </c>
      <c r="J40" s="6" t="n">
        <v>2</v>
      </c>
      <c r="K40" s="6" t="n">
        <v>5</v>
      </c>
      <c r="L40" s="6" t="n">
        <v>1</v>
      </c>
      <c r="M40" s="2" t="n">
        <f aca="false">K40-L40</f>
        <v>4</v>
      </c>
      <c r="N40" s="2" t="str">
        <f aca="false">IF(AND(K40&lt;=5,L40&lt;=5),"Only single retrievers miss",IF(AND(K40&gt;5,L40&lt;=5),"Reranker fixed",IF(AND(K40&lt;=5,L40&gt;5),"Reranker broke","Both miss")))</f>
        <v>Only single retrievers miss</v>
      </c>
      <c r="O40" s="2" t="n">
        <v>294</v>
      </c>
      <c r="P40" s="5" t="n">
        <v>0.9846</v>
      </c>
    </row>
    <row r="41" customFormat="false" ht="29.85" hidden="false" customHeight="false" outlineLevel="0" collapsed="false">
      <c r="A41" s="2" t="s">
        <v>108</v>
      </c>
      <c r="B41" s="2" t="s">
        <v>142</v>
      </c>
      <c r="C41" s="2" t="s">
        <v>23</v>
      </c>
      <c r="D41" s="2" t="s">
        <v>24</v>
      </c>
      <c r="E41" s="2" t="s">
        <v>56</v>
      </c>
      <c r="F41" s="7" t="s">
        <v>143</v>
      </c>
      <c r="G41" s="6" t="n">
        <v>3</v>
      </c>
      <c r="H41" s="6" t="n">
        <v>2</v>
      </c>
      <c r="I41" s="4" t="n">
        <v>13</v>
      </c>
      <c r="J41" s="6" t="n">
        <v>2</v>
      </c>
      <c r="K41" s="6" t="n">
        <v>5</v>
      </c>
      <c r="L41" s="6" t="n">
        <v>1</v>
      </c>
      <c r="M41" s="2" t="n">
        <f aca="false">K41-L41</f>
        <v>4</v>
      </c>
      <c r="N41" s="2" t="str">
        <f aca="false">IF(AND(K41&lt;=5,L41&lt;=5),"Only single retrievers miss",IF(AND(K41&gt;5,L41&lt;=5),"Reranker fixed",IF(AND(K41&lt;=5,L41&gt;5),"Reranker broke","Both miss")))</f>
        <v>Only single retrievers miss</v>
      </c>
      <c r="O41" s="2" t="n">
        <v>199</v>
      </c>
      <c r="P41" s="5" t="n">
        <v>0.9515</v>
      </c>
    </row>
    <row r="42" customFormat="false" ht="15" hidden="false" customHeight="false" outlineLevel="0" collapsed="false">
      <c r="A42" s="2" t="s">
        <v>108</v>
      </c>
      <c r="B42" s="2" t="s">
        <v>144</v>
      </c>
      <c r="C42" s="2" t="s">
        <v>32</v>
      </c>
      <c r="D42" s="2" t="s">
        <v>24</v>
      </c>
      <c r="E42" s="2" t="s">
        <v>145</v>
      </c>
      <c r="F42" s="7" t="s">
        <v>146</v>
      </c>
      <c r="G42" s="6" t="n">
        <v>2</v>
      </c>
      <c r="H42" s="6" t="n">
        <v>2</v>
      </c>
      <c r="I42" s="6" t="n">
        <v>1</v>
      </c>
      <c r="J42" s="4" t="n">
        <v>13</v>
      </c>
      <c r="K42" s="6" t="n">
        <v>2</v>
      </c>
      <c r="L42" s="6" t="n">
        <v>1</v>
      </c>
      <c r="M42" s="2" t="n">
        <f aca="false">K42-L42</f>
        <v>1</v>
      </c>
      <c r="N42" s="2" t="str">
        <f aca="false">IF(AND(K42&lt;=5,L42&lt;=5),"Only single retrievers miss",IF(AND(K42&gt;5,L42&lt;=5),"Reranker fixed",IF(AND(K42&lt;=5,L42&gt;5),"Reranker broke","Both miss")))</f>
        <v>Only single retrievers miss</v>
      </c>
      <c r="O42" s="2" t="n">
        <v>609</v>
      </c>
      <c r="P42" s="5" t="n">
        <v>0.9974</v>
      </c>
    </row>
    <row r="43" customFormat="false" ht="15" hidden="false" customHeight="false" outlineLevel="0" collapsed="false">
      <c r="A43" s="2" t="s">
        <v>108</v>
      </c>
      <c r="B43" s="2" t="s">
        <v>147</v>
      </c>
      <c r="C43" s="2" t="s">
        <v>32</v>
      </c>
      <c r="D43" s="2" t="s">
        <v>24</v>
      </c>
      <c r="E43" s="2" t="s">
        <v>148</v>
      </c>
      <c r="F43" s="7" t="s">
        <v>149</v>
      </c>
      <c r="G43" s="6" t="n">
        <v>5</v>
      </c>
      <c r="H43" s="4" t="n">
        <v>11</v>
      </c>
      <c r="I43" s="6" t="n">
        <v>3</v>
      </c>
      <c r="J43" s="6" t="n">
        <v>1</v>
      </c>
      <c r="K43" s="6" t="n">
        <v>2</v>
      </c>
      <c r="L43" s="6" t="n">
        <v>1</v>
      </c>
      <c r="M43" s="2" t="n">
        <f aca="false">K43-L43</f>
        <v>1</v>
      </c>
      <c r="N43" s="2" t="str">
        <f aca="false">IF(AND(K43&lt;=5,L43&lt;=5),"Only single retrievers miss",IF(AND(K43&gt;5,L43&lt;=5),"Reranker fixed",IF(AND(K43&lt;=5,L43&gt;5),"Reranker broke","Both miss")))</f>
        <v>Only single retrievers miss</v>
      </c>
      <c r="O43" s="2" t="n">
        <v>710</v>
      </c>
      <c r="P43" s="5" t="n">
        <v>0.9451</v>
      </c>
    </row>
    <row r="44" customFormat="false" ht="15" hidden="false" customHeight="false" outlineLevel="0" collapsed="false">
      <c r="A44" s="2" t="s">
        <v>108</v>
      </c>
      <c r="B44" s="2" t="s">
        <v>150</v>
      </c>
      <c r="C44" s="2" t="s">
        <v>23</v>
      </c>
      <c r="D44" s="2" t="s">
        <v>24</v>
      </c>
      <c r="E44" s="2" t="s">
        <v>151</v>
      </c>
      <c r="F44" s="7" t="s">
        <v>152</v>
      </c>
      <c r="G44" s="6" t="n">
        <v>1</v>
      </c>
      <c r="H44" s="6" t="n">
        <v>1</v>
      </c>
      <c r="I44" s="6" t="n">
        <v>1</v>
      </c>
      <c r="J44" s="4" t="n">
        <v>7</v>
      </c>
      <c r="K44" s="6" t="n">
        <v>2</v>
      </c>
      <c r="L44" s="6" t="n">
        <v>1</v>
      </c>
      <c r="M44" s="2" t="n">
        <f aca="false">K44-L44</f>
        <v>1</v>
      </c>
      <c r="N44" s="2" t="str">
        <f aca="false">IF(AND(K44&lt;=5,L44&lt;=5),"Only single retrievers miss",IF(AND(K44&gt;5,L44&lt;=5),"Reranker fixed",IF(AND(K44&lt;=5,L44&gt;5),"Reranker broke","Both miss")))</f>
        <v>Only single retrievers miss</v>
      </c>
      <c r="O44" s="2" t="n">
        <v>96</v>
      </c>
      <c r="P44" s="5" t="n">
        <v>0.9454</v>
      </c>
    </row>
    <row r="45" customFormat="false" ht="29.85" hidden="false" customHeight="false" outlineLevel="0" collapsed="false">
      <c r="A45" s="2" t="s">
        <v>108</v>
      </c>
      <c r="B45" s="2" t="s">
        <v>153</v>
      </c>
      <c r="C45" s="2" t="s">
        <v>23</v>
      </c>
      <c r="D45" s="2" t="s">
        <v>24</v>
      </c>
      <c r="E45" s="2" t="s">
        <v>154</v>
      </c>
      <c r="F45" s="7" t="s">
        <v>155</v>
      </c>
      <c r="G45" s="6" t="n">
        <v>1</v>
      </c>
      <c r="H45" s="6" t="n">
        <v>1</v>
      </c>
      <c r="I45" s="6" t="n">
        <v>1</v>
      </c>
      <c r="J45" s="4" t="n">
        <v>13</v>
      </c>
      <c r="K45" s="6" t="n">
        <v>2</v>
      </c>
      <c r="L45" s="6" t="n">
        <v>1</v>
      </c>
      <c r="M45" s="2" t="n">
        <f aca="false">K45-L45</f>
        <v>1</v>
      </c>
      <c r="N45" s="2" t="str">
        <f aca="false">IF(AND(K45&lt;=5,L45&lt;=5),"Only single retrievers miss",IF(AND(K45&gt;5,L45&lt;=5),"Reranker fixed",IF(AND(K45&lt;=5,L45&gt;5),"Reranker broke","Both miss")))</f>
        <v>Only single retrievers miss</v>
      </c>
      <c r="O45" s="2" t="n">
        <v>318</v>
      </c>
      <c r="P45" s="5" t="n">
        <v>0.9886</v>
      </c>
    </row>
    <row r="46" customFormat="false" ht="23.85" hidden="false" customHeight="false" outlineLevel="0" collapsed="false">
      <c r="A46" s="2" t="s">
        <v>108</v>
      </c>
      <c r="B46" s="2" t="s">
        <v>156</v>
      </c>
      <c r="C46" s="2" t="s">
        <v>28</v>
      </c>
      <c r="D46" s="2" t="s">
        <v>19</v>
      </c>
      <c r="E46" s="2" t="s">
        <v>157</v>
      </c>
      <c r="F46" s="3" t="s">
        <v>158</v>
      </c>
      <c r="G46" s="4" t="s">
        <v>54</v>
      </c>
      <c r="H46" s="4" t="s">
        <v>54</v>
      </c>
      <c r="I46" s="6" t="n">
        <v>2</v>
      </c>
      <c r="J46" s="6" t="n">
        <v>3</v>
      </c>
      <c r="K46" s="6" t="n">
        <v>2</v>
      </c>
      <c r="L46" s="6" t="n">
        <v>1</v>
      </c>
      <c r="M46" s="2" t="n">
        <f aca="false">K46-L46</f>
        <v>1</v>
      </c>
      <c r="N46" s="2" t="str">
        <f aca="false">IF(AND(K46&lt;=5,L46&lt;=5),"Only single retrievers miss",IF(AND(K46&gt;5,L46&lt;=5),"Reranker fixed",IF(AND(K46&lt;=5,L46&gt;5),"Reranker broke","Both miss")))</f>
        <v>Only single retrievers miss</v>
      </c>
      <c r="O46" s="2" t="n">
        <v>91</v>
      </c>
      <c r="P46" s="5" t="n">
        <v>0.1761</v>
      </c>
    </row>
    <row r="47" customFormat="false" ht="23.85" hidden="false" customHeight="false" outlineLevel="0" collapsed="false">
      <c r="A47" s="2" t="s">
        <v>108</v>
      </c>
      <c r="B47" s="2" t="s">
        <v>159</v>
      </c>
      <c r="C47" s="2" t="s">
        <v>28</v>
      </c>
      <c r="D47" s="2" t="s">
        <v>19</v>
      </c>
      <c r="E47" s="2" t="s">
        <v>160</v>
      </c>
      <c r="F47" s="3" t="s">
        <v>161</v>
      </c>
      <c r="G47" s="4" t="s">
        <v>54</v>
      </c>
      <c r="H47" s="4" t="s">
        <v>54</v>
      </c>
      <c r="I47" s="4" t="n">
        <v>9</v>
      </c>
      <c r="J47" s="6" t="n">
        <v>1</v>
      </c>
      <c r="K47" s="6" t="n">
        <v>2</v>
      </c>
      <c r="L47" s="6" t="n">
        <v>1</v>
      </c>
      <c r="M47" s="2" t="n">
        <f aca="false">K47-L47</f>
        <v>1</v>
      </c>
      <c r="N47" s="2" t="str">
        <f aca="false">IF(AND(K47&lt;=5,L47&lt;=5),"Only single retrievers miss",IF(AND(K47&gt;5,L47&lt;=5),"Reranker fixed",IF(AND(K47&lt;=5,L47&gt;5),"Reranker broke","Both miss")))</f>
        <v>Only single retrievers miss</v>
      </c>
      <c r="O47" s="2" t="n">
        <v>438</v>
      </c>
      <c r="P47" s="5" t="n">
        <v>0.8816</v>
      </c>
    </row>
    <row r="48" customFormat="false" ht="29.85" hidden="false" customHeight="false" outlineLevel="0" collapsed="false">
      <c r="A48" s="2" t="s">
        <v>108</v>
      </c>
      <c r="B48" s="2" t="s">
        <v>162</v>
      </c>
      <c r="C48" s="2" t="s">
        <v>32</v>
      </c>
      <c r="D48" s="2" t="s">
        <v>24</v>
      </c>
      <c r="E48" s="2" t="s">
        <v>163</v>
      </c>
      <c r="F48" s="7" t="s">
        <v>164</v>
      </c>
      <c r="G48" s="4" t="n">
        <v>7</v>
      </c>
      <c r="H48" s="6" t="n">
        <v>4</v>
      </c>
      <c r="I48" s="6" t="n">
        <v>1</v>
      </c>
      <c r="J48" s="6" t="n">
        <v>1</v>
      </c>
      <c r="K48" s="6" t="n">
        <v>1</v>
      </c>
      <c r="L48" s="6" t="n">
        <v>1</v>
      </c>
      <c r="M48" s="2" t="n">
        <f aca="false">K48-L48</f>
        <v>0</v>
      </c>
      <c r="N48" s="2" t="str">
        <f aca="false">IF(AND(K48&lt;=5,L48&lt;=5),"Only single retrievers miss",IF(AND(K48&gt;5,L48&lt;=5),"Reranker fixed",IF(AND(K48&lt;=5,L48&gt;5),"Reranker broke","Both miss")))</f>
        <v>Only single retrievers miss</v>
      </c>
      <c r="O48" s="2" t="n">
        <v>251</v>
      </c>
      <c r="P48" s="5" t="n">
        <v>0.9287</v>
      </c>
    </row>
    <row r="49" customFormat="false" ht="29.85" hidden="false" customHeight="false" outlineLevel="0" collapsed="false">
      <c r="A49" s="2" t="s">
        <v>108</v>
      </c>
      <c r="B49" s="2" t="s">
        <v>165</v>
      </c>
      <c r="C49" s="2" t="s">
        <v>32</v>
      </c>
      <c r="D49" s="2" t="s">
        <v>24</v>
      </c>
      <c r="E49" s="2" t="s">
        <v>166</v>
      </c>
      <c r="F49" s="7" t="s">
        <v>167</v>
      </c>
      <c r="G49" s="4" t="s">
        <v>54</v>
      </c>
      <c r="H49" s="4" t="n">
        <v>17</v>
      </c>
      <c r="I49" s="6" t="n">
        <v>1</v>
      </c>
      <c r="J49" s="4" t="n">
        <v>9</v>
      </c>
      <c r="K49" s="6" t="n">
        <v>1</v>
      </c>
      <c r="L49" s="6" t="n">
        <v>1</v>
      </c>
      <c r="M49" s="2" t="n">
        <f aca="false">K49-L49</f>
        <v>0</v>
      </c>
      <c r="N49" s="2" t="str">
        <f aca="false">IF(AND(K49&lt;=5,L49&lt;=5),"Only single retrievers miss",IF(AND(K49&gt;5,L49&lt;=5),"Reranker fixed",IF(AND(K49&lt;=5,L49&gt;5),"Reranker broke","Both miss")))</f>
        <v>Only single retrievers miss</v>
      </c>
      <c r="O49" s="2" t="n">
        <v>483</v>
      </c>
      <c r="P49" s="5" t="n">
        <v>0.7435</v>
      </c>
    </row>
    <row r="50" customFormat="false" ht="15" hidden="false" customHeight="false" outlineLevel="0" collapsed="false">
      <c r="A50" s="2" t="s">
        <v>108</v>
      </c>
      <c r="B50" s="2" t="s">
        <v>168</v>
      </c>
      <c r="C50" s="2" t="s">
        <v>23</v>
      </c>
      <c r="D50" s="2" t="s">
        <v>24</v>
      </c>
      <c r="E50" s="2" t="s">
        <v>169</v>
      </c>
      <c r="F50" s="7" t="s">
        <v>170</v>
      </c>
      <c r="G50" s="4" t="n">
        <v>15</v>
      </c>
      <c r="H50" s="4" t="s">
        <v>54</v>
      </c>
      <c r="I50" s="6" t="n">
        <v>3</v>
      </c>
      <c r="J50" s="6" t="n">
        <v>1</v>
      </c>
      <c r="K50" s="6" t="n">
        <v>1</v>
      </c>
      <c r="L50" s="6" t="n">
        <v>1</v>
      </c>
      <c r="M50" s="2" t="n">
        <f aca="false">K50-L50</f>
        <v>0</v>
      </c>
      <c r="N50" s="2" t="str">
        <f aca="false">IF(AND(K50&lt;=5,L50&lt;=5),"Only single retrievers miss",IF(AND(K50&gt;5,L50&lt;=5),"Reranker fixed",IF(AND(K50&lt;=5,L50&gt;5),"Reranker broke","Both miss")))</f>
        <v>Only single retrievers miss</v>
      </c>
      <c r="O50" s="2" t="n">
        <v>81</v>
      </c>
      <c r="P50" s="5" t="n">
        <v>0.8927</v>
      </c>
    </row>
    <row r="51" customFormat="false" ht="15" hidden="false" customHeight="false" outlineLevel="0" collapsed="false">
      <c r="A51" s="2" t="s">
        <v>108</v>
      </c>
      <c r="B51" s="2" t="s">
        <v>171</v>
      </c>
      <c r="C51" s="2" t="s">
        <v>23</v>
      </c>
      <c r="D51" s="2" t="s">
        <v>24</v>
      </c>
      <c r="E51" s="2" t="s">
        <v>172</v>
      </c>
      <c r="F51" s="7" t="s">
        <v>173</v>
      </c>
      <c r="G51" s="4" t="n">
        <v>20</v>
      </c>
      <c r="H51" s="4" t="n">
        <v>26</v>
      </c>
      <c r="I51" s="6" t="n">
        <v>1</v>
      </c>
      <c r="J51" s="6" t="n">
        <v>1</v>
      </c>
      <c r="K51" s="6" t="n">
        <v>1</v>
      </c>
      <c r="L51" s="6" t="n">
        <v>1</v>
      </c>
      <c r="M51" s="2" t="n">
        <f aca="false">K51-L51</f>
        <v>0</v>
      </c>
      <c r="N51" s="2" t="str">
        <f aca="false">IF(AND(K51&lt;=5,L51&lt;=5),"Only single retrievers miss",IF(AND(K51&gt;5,L51&lt;=5),"Reranker fixed",IF(AND(K51&lt;=5,L51&gt;5),"Reranker broke","Both miss")))</f>
        <v>Only single retrievers miss</v>
      </c>
      <c r="O51" s="2" t="n">
        <v>163</v>
      </c>
      <c r="P51" s="5" t="n">
        <v>0.9965</v>
      </c>
    </row>
    <row r="52" customFormat="false" ht="23.85" hidden="false" customHeight="false" outlineLevel="0" collapsed="false">
      <c r="A52" s="2" t="s">
        <v>108</v>
      </c>
      <c r="B52" s="2" t="s">
        <v>174</v>
      </c>
      <c r="C52" s="2" t="s">
        <v>18</v>
      </c>
      <c r="D52" s="2" t="s">
        <v>19</v>
      </c>
      <c r="E52" s="2" t="s">
        <v>175</v>
      </c>
      <c r="F52" s="3" t="s">
        <v>176</v>
      </c>
      <c r="G52" s="4" t="n">
        <v>9</v>
      </c>
      <c r="H52" s="4" t="s">
        <v>54</v>
      </c>
      <c r="I52" s="4" t="n">
        <v>19</v>
      </c>
      <c r="J52" s="6" t="n">
        <v>1</v>
      </c>
      <c r="K52" s="6" t="n">
        <v>1</v>
      </c>
      <c r="L52" s="6" t="n">
        <v>1</v>
      </c>
      <c r="M52" s="2" t="n">
        <f aca="false">K52-L52</f>
        <v>0</v>
      </c>
      <c r="N52" s="2" t="str">
        <f aca="false">IF(AND(K52&lt;=5,L52&lt;=5),"Only single retrievers miss",IF(AND(K52&gt;5,L52&lt;=5),"Reranker fixed",IF(AND(K52&lt;=5,L52&gt;5),"Reranker broke","Both miss")))</f>
        <v>Only single retrievers miss</v>
      </c>
      <c r="O52" s="2" t="n">
        <v>46</v>
      </c>
      <c r="P52" s="5" t="n">
        <v>0.1547</v>
      </c>
    </row>
    <row r="53" customFormat="false" ht="15" hidden="false" customHeight="false" outlineLevel="0" collapsed="false">
      <c r="A53" s="2" t="s">
        <v>177</v>
      </c>
      <c r="B53" s="2" t="s">
        <v>178</v>
      </c>
      <c r="C53" s="2" t="s">
        <v>23</v>
      </c>
      <c r="D53" s="2" t="s">
        <v>24</v>
      </c>
      <c r="E53" s="2" t="s">
        <v>179</v>
      </c>
      <c r="F53" s="3" t="s">
        <v>180</v>
      </c>
      <c r="G53" s="4" t="n">
        <v>26</v>
      </c>
      <c r="H53" s="6" t="n">
        <v>2</v>
      </c>
      <c r="I53" s="6" t="n">
        <v>2</v>
      </c>
      <c r="J53" s="4" t="n">
        <v>13</v>
      </c>
      <c r="K53" s="4" t="n">
        <v>6</v>
      </c>
      <c r="L53" s="6" t="n">
        <v>1</v>
      </c>
      <c r="M53" s="2" t="n">
        <f aca="false">K53-L53</f>
        <v>5</v>
      </c>
      <c r="N53" s="2" t="str">
        <f aca="false">IF(AND(K53&lt;=5,L53&lt;=5),"Only single retrievers miss",IF(AND(K53&gt;5,L53&lt;=5),"Reranker fixed",IF(AND(K53&lt;=5,L53&gt;5),"Reranker broke","Both miss")))</f>
        <v>Reranker fixed</v>
      </c>
      <c r="O53" s="2" t="n">
        <v>90</v>
      </c>
      <c r="P53" s="5" t="n">
        <v>0.9894</v>
      </c>
    </row>
    <row r="54" customFormat="false" ht="23.85" hidden="false" customHeight="false" outlineLevel="0" collapsed="false">
      <c r="A54" s="2" t="s">
        <v>177</v>
      </c>
      <c r="B54" s="2" t="s">
        <v>181</v>
      </c>
      <c r="C54" s="2" t="s">
        <v>28</v>
      </c>
      <c r="D54" s="2" t="s">
        <v>19</v>
      </c>
      <c r="E54" s="2" t="s">
        <v>182</v>
      </c>
      <c r="F54" s="3" t="s">
        <v>183</v>
      </c>
      <c r="G54" s="6" t="n">
        <v>1</v>
      </c>
      <c r="H54" s="6" t="n">
        <v>1</v>
      </c>
      <c r="I54" s="6" t="n">
        <v>2</v>
      </c>
      <c r="J54" s="4" t="n">
        <v>7</v>
      </c>
      <c r="K54" s="6" t="n">
        <v>3</v>
      </c>
      <c r="L54" s="6" t="n">
        <v>2</v>
      </c>
      <c r="M54" s="2" t="n">
        <f aca="false">K54-L54</f>
        <v>1</v>
      </c>
      <c r="N54" s="2" t="str">
        <f aca="false">IF(AND(K54&lt;=5,L54&lt;=5),"Only single retrievers miss",IF(AND(K54&gt;5,L54&lt;=5),"Reranker fixed",IF(AND(K54&lt;=5,L54&gt;5),"Reranker broke","Both miss")))</f>
        <v>Only single retrievers miss</v>
      </c>
      <c r="O54" s="2" t="n">
        <v>913</v>
      </c>
      <c r="P54" s="5" t="n">
        <v>0.83</v>
      </c>
    </row>
    <row r="55" customFormat="false" ht="15" hidden="false" customHeight="false" outlineLevel="0" collapsed="false">
      <c r="A55" s="2" t="s">
        <v>177</v>
      </c>
      <c r="B55" s="2" t="s">
        <v>184</v>
      </c>
      <c r="C55" s="2" t="s">
        <v>23</v>
      </c>
      <c r="D55" s="2" t="s">
        <v>24</v>
      </c>
      <c r="E55" s="2" t="s">
        <v>185</v>
      </c>
      <c r="F55" s="7" t="s">
        <v>186</v>
      </c>
      <c r="G55" s="6" t="n">
        <v>1</v>
      </c>
      <c r="H55" s="6" t="n">
        <v>1</v>
      </c>
      <c r="I55" s="6" t="n">
        <v>1</v>
      </c>
      <c r="J55" s="4" t="n">
        <v>15</v>
      </c>
      <c r="K55" s="6" t="n">
        <v>4</v>
      </c>
      <c r="L55" s="6" t="n">
        <v>1</v>
      </c>
      <c r="M55" s="2" t="n">
        <f aca="false">K55-L55</f>
        <v>3</v>
      </c>
      <c r="N55" s="2" t="str">
        <f aca="false">IF(AND(K55&lt;=5,L55&lt;=5),"Only single retrievers miss",IF(AND(K55&gt;5,L55&lt;=5),"Reranker fixed",IF(AND(K55&lt;=5,L55&gt;5),"Reranker broke","Both miss")))</f>
        <v>Only single retrievers miss</v>
      </c>
      <c r="O55" s="2" t="n">
        <v>18</v>
      </c>
      <c r="P55" s="5" t="n">
        <v>0.9992</v>
      </c>
    </row>
    <row r="56" customFormat="false" ht="15" hidden="false" customHeight="false" outlineLevel="0" collapsed="false">
      <c r="A56" s="2" t="s">
        <v>177</v>
      </c>
      <c r="B56" s="2" t="s">
        <v>187</v>
      </c>
      <c r="C56" s="2" t="s">
        <v>32</v>
      </c>
      <c r="D56" s="2" t="s">
        <v>24</v>
      </c>
      <c r="E56" s="2" t="s">
        <v>188</v>
      </c>
      <c r="F56" s="7" t="s">
        <v>189</v>
      </c>
      <c r="G56" s="6" t="n">
        <v>2</v>
      </c>
      <c r="H56" s="4" t="n">
        <v>14</v>
      </c>
      <c r="I56" s="6" t="n">
        <v>3</v>
      </c>
      <c r="J56" s="6" t="n">
        <v>3</v>
      </c>
      <c r="K56" s="6" t="n">
        <v>3</v>
      </c>
      <c r="L56" s="6" t="n">
        <v>1</v>
      </c>
      <c r="M56" s="2" t="n">
        <f aca="false">K56-L56</f>
        <v>2</v>
      </c>
      <c r="N56" s="2" t="str">
        <f aca="false">IF(AND(K56&lt;=5,L56&lt;=5),"Only single retrievers miss",IF(AND(K56&gt;5,L56&lt;=5),"Reranker fixed",IF(AND(K56&lt;=5,L56&gt;5),"Reranker broke","Both miss")))</f>
        <v>Only single retrievers miss</v>
      </c>
      <c r="O56" s="2" t="n">
        <v>594</v>
      </c>
      <c r="P56" s="5" t="n">
        <v>0.9975</v>
      </c>
    </row>
    <row r="57" customFormat="false" ht="23.85" hidden="false" customHeight="false" outlineLevel="0" collapsed="false">
      <c r="A57" s="2" t="s">
        <v>177</v>
      </c>
      <c r="B57" s="2" t="s">
        <v>190</v>
      </c>
      <c r="C57" s="2" t="s">
        <v>28</v>
      </c>
      <c r="D57" s="2" t="s">
        <v>19</v>
      </c>
      <c r="E57" s="2" t="s">
        <v>191</v>
      </c>
      <c r="F57" s="3" t="s">
        <v>192</v>
      </c>
      <c r="G57" s="6" t="n">
        <v>1</v>
      </c>
      <c r="H57" s="6" t="n">
        <v>1</v>
      </c>
      <c r="I57" s="6" t="n">
        <v>1</v>
      </c>
      <c r="J57" s="4" t="n">
        <v>8</v>
      </c>
      <c r="K57" s="6" t="n">
        <v>3</v>
      </c>
      <c r="L57" s="6" t="n">
        <v>1</v>
      </c>
      <c r="M57" s="2" t="n">
        <f aca="false">K57-L57</f>
        <v>2</v>
      </c>
      <c r="N57" s="2" t="str">
        <f aca="false">IF(AND(K57&lt;=5,L57&lt;=5),"Only single retrievers miss",IF(AND(K57&gt;5,L57&lt;=5),"Reranker fixed",IF(AND(K57&lt;=5,L57&gt;5),"Reranker broke","Both miss")))</f>
        <v>Only single retrievers miss</v>
      </c>
      <c r="O57" s="2" t="n">
        <v>274</v>
      </c>
      <c r="P57" s="5" t="n">
        <v>0.9779</v>
      </c>
    </row>
    <row r="58" customFormat="false" ht="29.85" hidden="false" customHeight="false" outlineLevel="0" collapsed="false">
      <c r="A58" s="2" t="s">
        <v>177</v>
      </c>
      <c r="B58" s="2" t="s">
        <v>193</v>
      </c>
      <c r="C58" s="2" t="s">
        <v>32</v>
      </c>
      <c r="D58" s="2" t="s">
        <v>24</v>
      </c>
      <c r="E58" s="2" t="s">
        <v>88</v>
      </c>
      <c r="F58" s="3" t="s">
        <v>194</v>
      </c>
      <c r="G58" s="4" t="n">
        <v>12</v>
      </c>
      <c r="H58" s="4" t="n">
        <v>18</v>
      </c>
      <c r="I58" s="6" t="n">
        <v>3</v>
      </c>
      <c r="J58" s="6" t="n">
        <v>4</v>
      </c>
      <c r="K58" s="6" t="n">
        <v>2</v>
      </c>
      <c r="L58" s="6" t="n">
        <v>1</v>
      </c>
      <c r="M58" s="2" t="n">
        <f aca="false">K58-L58</f>
        <v>1</v>
      </c>
      <c r="N58" s="2" t="str">
        <f aca="false">IF(AND(K58&lt;=5,L58&lt;=5),"Only single retrievers miss",IF(AND(K58&gt;5,L58&lt;=5),"Reranker fixed",IF(AND(K58&lt;=5,L58&gt;5),"Reranker broke","Both miss")))</f>
        <v>Only single retrievers miss</v>
      </c>
      <c r="O58" s="2" t="n">
        <v>668</v>
      </c>
      <c r="P58" s="5" t="n">
        <v>0.9841</v>
      </c>
    </row>
    <row r="59" customFormat="false" ht="23.85" hidden="false" customHeight="false" outlineLevel="0" collapsed="false">
      <c r="A59" s="2" t="s">
        <v>177</v>
      </c>
      <c r="B59" s="2" t="s">
        <v>195</v>
      </c>
      <c r="C59" s="2" t="s">
        <v>28</v>
      </c>
      <c r="D59" s="2" t="s">
        <v>19</v>
      </c>
      <c r="E59" s="2" t="s">
        <v>196</v>
      </c>
      <c r="F59" s="3" t="s">
        <v>197</v>
      </c>
      <c r="G59" s="4" t="n">
        <v>6</v>
      </c>
      <c r="H59" s="4" t="n">
        <v>6</v>
      </c>
      <c r="I59" s="6" t="n">
        <v>2</v>
      </c>
      <c r="J59" s="6" t="n">
        <v>1</v>
      </c>
      <c r="K59" s="6" t="n">
        <v>2</v>
      </c>
      <c r="L59" s="6" t="n">
        <v>1</v>
      </c>
      <c r="M59" s="2" t="n">
        <f aca="false">K59-L59</f>
        <v>1</v>
      </c>
      <c r="N59" s="2" t="str">
        <f aca="false">IF(AND(K59&lt;=5,L59&lt;=5),"Only single retrievers miss",IF(AND(K59&gt;5,L59&lt;=5),"Reranker fixed",IF(AND(K59&lt;=5,L59&gt;5),"Reranker broke","Both miss")))</f>
        <v>Only single retrievers miss</v>
      </c>
      <c r="O59" s="2" t="n">
        <v>447</v>
      </c>
      <c r="P59" s="5" t="n">
        <v>0.9991</v>
      </c>
    </row>
    <row r="60" customFormat="false" ht="15" hidden="false" customHeight="false" outlineLevel="0" collapsed="false">
      <c r="A60" s="2" t="s">
        <v>177</v>
      </c>
      <c r="B60" s="2" t="s">
        <v>198</v>
      </c>
      <c r="C60" s="2" t="s">
        <v>32</v>
      </c>
      <c r="D60" s="2" t="s">
        <v>24</v>
      </c>
      <c r="E60" s="2" t="s">
        <v>106</v>
      </c>
      <c r="F60" s="7" t="s">
        <v>199</v>
      </c>
      <c r="G60" s="4" t="n">
        <v>14</v>
      </c>
      <c r="H60" s="4" t="n">
        <v>32</v>
      </c>
      <c r="I60" s="6" t="n">
        <v>3</v>
      </c>
      <c r="J60" s="4" t="n">
        <v>17</v>
      </c>
      <c r="K60" s="6" t="n">
        <v>1</v>
      </c>
      <c r="L60" s="6" t="n">
        <v>1</v>
      </c>
      <c r="M60" s="2" t="n">
        <f aca="false">K60-L60</f>
        <v>0</v>
      </c>
      <c r="N60" s="2" t="str">
        <f aca="false">IF(AND(K60&lt;=5,L60&lt;=5),"Only single retrievers miss",IF(AND(K60&gt;5,L60&lt;=5),"Reranker fixed",IF(AND(K60&lt;=5,L60&gt;5),"Reranker broke","Both miss")))</f>
        <v>Only single retrievers miss</v>
      </c>
      <c r="O60" s="2" t="n">
        <v>339</v>
      </c>
      <c r="P60" s="5" t="n">
        <v>0.9834</v>
      </c>
    </row>
    <row r="62" customFormat="false" ht="15" hidden="false" customHeight="false" outlineLevel="0" collapsed="false">
      <c r="A62" s="8" t="s">
        <v>200</v>
      </c>
    </row>
  </sheetData>
  <autoFilter ref="A1:P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5" hidden="false" customHeight="false" outlineLevel="0" collapsed="false">
      <c r="A1" s="9" t="s">
        <v>13</v>
      </c>
      <c r="B1" s="9" t="s">
        <v>16</v>
      </c>
      <c r="C1" s="9" t="s">
        <v>50</v>
      </c>
      <c r="D1" s="9" t="s">
        <v>108</v>
      </c>
      <c r="E1" s="9" t="s">
        <v>177</v>
      </c>
      <c r="F1" s="9" t="s">
        <v>201</v>
      </c>
    </row>
    <row r="2" customFormat="false" ht="15" hidden="false" customHeight="false" outlineLevel="0" collapsed="false">
      <c r="A2" s="10" t="s">
        <v>202</v>
      </c>
      <c r="B2" s="10" t="n">
        <f aca="false">COUNTIFS('Missed L4-L1'!$A$2:$A$60,"L4",'Missed L4-L1'!$N$2:$N$60,$A2)</f>
        <v>3</v>
      </c>
      <c r="C2" s="10" t="n">
        <f aca="false">COUNTIFS('Missed L4-L1'!$A$2:$A$60,"L3",'Missed L4-L1'!$N$2:$N$60,$A2)</f>
        <v>1</v>
      </c>
      <c r="D2" s="10" t="n">
        <f aca="false">COUNTIFS('Missed L4-L1'!$A$2:$A$60,"L2",'Missed L4-L1'!$N$2:$N$60,$A2)</f>
        <v>1</v>
      </c>
      <c r="E2" s="10" t="n">
        <f aca="false">COUNTIFS('Missed L4-L1'!$A$2:$A$60,"L1",'Missed L4-L1'!$N$2:$N$60,$A2)</f>
        <v>0</v>
      </c>
      <c r="F2" s="10" t="n">
        <f aca="false">SUM(B2:E2)</f>
        <v>5</v>
      </c>
    </row>
    <row r="3" customFormat="false" ht="15" hidden="false" customHeight="false" outlineLevel="0" collapsed="false">
      <c r="A3" s="10" t="s">
        <v>203</v>
      </c>
      <c r="B3" s="10" t="n">
        <f aca="false">COUNTIFS('Missed L4-L1'!$A$2:$A$60,"L4",'Missed L4-L1'!$N$2:$N$60,$A3)</f>
        <v>1</v>
      </c>
      <c r="C3" s="10" t="n">
        <f aca="false">COUNTIFS('Missed L4-L1'!$A$2:$A$60,"L3",'Missed L4-L1'!$N$2:$N$60,$A3)</f>
        <v>0</v>
      </c>
      <c r="D3" s="10" t="n">
        <f aca="false">COUNTIFS('Missed L4-L1'!$A$2:$A$60,"L2",'Missed L4-L1'!$N$2:$N$60,$A3)</f>
        <v>1</v>
      </c>
      <c r="E3" s="10" t="n">
        <f aca="false">COUNTIFS('Missed L4-L1'!$A$2:$A$60,"L1",'Missed L4-L1'!$N$2:$N$60,$A3)</f>
        <v>0</v>
      </c>
      <c r="F3" s="10" t="n">
        <f aca="false">SUM(B3:E3)</f>
        <v>2</v>
      </c>
    </row>
    <row r="4" customFormat="false" ht="15" hidden="false" customHeight="false" outlineLevel="0" collapsed="false">
      <c r="A4" s="10" t="s">
        <v>204</v>
      </c>
      <c r="B4" s="10" t="n">
        <f aca="false">COUNTIFS('Missed L4-L1'!$A$2:$A$60,"L4",'Missed L4-L1'!$N$2:$N$60,$A4)</f>
        <v>0</v>
      </c>
      <c r="C4" s="10" t="n">
        <f aca="false">COUNTIFS('Missed L4-L1'!$A$2:$A$60,"L3",'Missed L4-L1'!$N$2:$N$60,$A4)</f>
        <v>9</v>
      </c>
      <c r="D4" s="10" t="n">
        <f aca="false">COUNTIFS('Missed L4-L1'!$A$2:$A$60,"L2",'Missed L4-L1'!$N$2:$N$60,$A4)</f>
        <v>6</v>
      </c>
      <c r="E4" s="10" t="n">
        <f aca="false">COUNTIFS('Missed L4-L1'!$A$2:$A$60,"L1",'Missed L4-L1'!$N$2:$N$60,$A4)</f>
        <v>1</v>
      </c>
      <c r="F4" s="10" t="n">
        <f aca="false">SUM(B4:E4)</f>
        <v>16</v>
      </c>
    </row>
    <row r="5" customFormat="false" ht="15" hidden="false" customHeight="false" outlineLevel="0" collapsed="false">
      <c r="A5" s="10" t="s">
        <v>205</v>
      </c>
      <c r="B5" s="10" t="n">
        <f aca="false">COUNTIFS('Missed L4-L1'!$A$2:$A$60,"L4",'Missed L4-L1'!$N$2:$N$60,$A5)</f>
        <v>5</v>
      </c>
      <c r="C5" s="10" t="n">
        <f aca="false">COUNTIFS('Missed L4-L1'!$A$2:$A$60,"L3",'Missed L4-L1'!$N$2:$N$60,$A5)</f>
        <v>9</v>
      </c>
      <c r="D5" s="10" t="n">
        <f aca="false">COUNTIFS('Missed L4-L1'!$A$2:$A$60,"L2",'Missed L4-L1'!$N$2:$N$60,$A5)</f>
        <v>15</v>
      </c>
      <c r="E5" s="10" t="n">
        <f aca="false">COUNTIFS('Missed L4-L1'!$A$2:$A$60,"L1",'Missed L4-L1'!$N$2:$N$60,$A5)</f>
        <v>7</v>
      </c>
      <c r="F5" s="10" t="n">
        <f aca="false">SUM(B5:E5)</f>
        <v>36</v>
      </c>
    </row>
    <row r="6" customFormat="false" ht="15" hidden="false" customHeight="false" outlineLevel="0" collapsed="false">
      <c r="A6" s="9" t="s">
        <v>201</v>
      </c>
      <c r="B6" s="9" t="n">
        <f aca="false">SUM(B2:B5)</f>
        <v>9</v>
      </c>
      <c r="C6" s="9" t="n">
        <f aca="false">SUM(C2:C5)</f>
        <v>19</v>
      </c>
      <c r="D6" s="9" t="n">
        <f aca="false">SUM(D2:D5)</f>
        <v>23</v>
      </c>
      <c r="E6" s="9" t="n">
        <f aca="false">SUM(E2:E5)</f>
        <v>8</v>
      </c>
      <c r="F6" s="9" t="n">
        <f aca="false">SUM(F2:F5)</f>
        <v>59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</row>
    <row r="8" customFormat="false" ht="15" hidden="false" customHeight="false" outlineLevel="0" collapsed="false">
      <c r="A8" s="8" t="s">
        <v>206</v>
      </c>
      <c r="B8" s="10"/>
      <c r="C8" s="10"/>
      <c r="D8" s="10"/>
      <c r="E8" s="10"/>
      <c r="F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2026-10-02T07:11:09Z</dcterms:created>
  <dc:creator>openpyxl</dc:creator>
  <dc:description/>
  <dc:language>en-US</dc:language>
  <cp:lastModifiedBy/>
  <dcterms:modified xsi:type="dcterms:W3CDTF">2026-10-02T07:11:09Z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